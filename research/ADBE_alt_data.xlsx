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Triangulation" sheetId="7" state="visible" r:id="rId7"/>
    <sheet xmlns:r="http://schemas.openxmlformats.org/officeDocument/2006/relationships" name="EPS_bridge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>
      <c r="A40" t="inlineStr">
        <is>
          <t>Q3 FY26 RPO</t>
        </is>
      </c>
      <c r="B40" s="4" t="n">
        <v>22160</v>
      </c>
      <c r="C40" t="inlineStr">
        <is>
          <t>USD M</t>
        </is>
      </c>
      <c r="D40" t="inlineStr">
        <is>
          <t>Adobe Q3 FY26 press release (8-K Ex.99.1), verified from sec.gov 2026-10-02</t>
        </is>
      </c>
      <c r="E40" t="inlineStr">
        <is>
          <t>https://www.sec.gov/Archives/edgar/data/796343/000079634326000147/adbeex991q326.htm</t>
        </is>
      </c>
    </row>
    <row r="41">
      <c r="A41" t="inlineStr">
        <is>
          <t>Q3 FY26 cRPO share of RPO</t>
        </is>
      </c>
      <c r="B41" s="4" t="n">
        <v>0.67</v>
      </c>
      <c r="C41" t="inlineStr">
        <is>
          <t>ratio</t>
        </is>
      </c>
      <c r="D41" t="inlineStr">
        <is>
          <t>Adobe Q3 FY26 press release, verified from sec.gov 2026-10-02</t>
        </is>
      </c>
      <c r="E41" t="inlineStr">
        <is>
          <t>https://www.sec.gov/Archives/edgar/data/796343/000079634326000147/adbeex991q326.htm</t>
        </is>
      </c>
    </row>
    <row r="42">
      <c r="A42" t="inlineStr">
        <is>
          <t>Q3 FY26 non-GAAP operating income</t>
        </is>
      </c>
      <c r="B42" s="4" t="n">
        <v>2970</v>
      </c>
      <c r="C42" t="inlineStr">
        <is>
          <t>USD M</t>
        </is>
      </c>
      <c r="D42" t="inlineStr">
        <is>
          <t>Adobe Q3 FY26 press release, verified from sec.gov 2026-10-02</t>
        </is>
      </c>
      <c r="E42" t="inlineStr">
        <is>
          <t>https://www.sec.gov/Archives/edgar/data/796343/000079634326000147/adbeex991q326.htm</t>
        </is>
      </c>
    </row>
    <row r="43">
      <c r="A43" t="inlineStr">
        <is>
          <t>Q3 FY26 operating cash flow</t>
        </is>
      </c>
      <c r="B43" s="4" t="n">
        <v>2520</v>
      </c>
      <c r="C43" t="inlineStr">
        <is>
          <t>USD M</t>
        </is>
      </c>
      <c r="D43" t="inlineStr">
        <is>
          <t>Adobe Q3 FY26 press release, verified from sec.gov 2026-10-02</t>
        </is>
      </c>
      <c r="E43" t="inlineStr">
        <is>
          <t>https://www.sec.gov/Archives/edgar/data/796343/000079634326000147/adbeex991q326.htm</t>
        </is>
      </c>
    </row>
    <row r="44">
      <c r="A44" t="inlineStr">
        <is>
          <t>FY26 target non-GAAP operating margin</t>
        </is>
      </c>
      <c r="B44" s="4" t="n">
        <v>0.45</v>
      </c>
      <c r="C44" t="inlineStr">
        <is>
          <t>ratio</t>
        </is>
      </c>
      <c r="D44" t="inlineStr">
        <is>
          <t>Adobe Q3 FY26 press release FY2026 targets footnote, verified 2026-10-02</t>
        </is>
      </c>
      <c r="E44" t="inlineStr">
        <is>
          <t>https://www.sec.gov/Archives/edgar/data/796343/000079634326000147/adbeex991q326.htm</t>
        </is>
      </c>
    </row>
    <row r="45">
      <c r="A45" t="inlineStr">
        <is>
          <t>FY26 target non-GAAP tax rate</t>
        </is>
      </c>
      <c r="B45" s="4" t="n">
        <v>0.18</v>
      </c>
      <c r="C45" t="inlineStr">
        <is>
          <t>ratio</t>
        </is>
      </c>
      <c r="D45" t="inlineStr">
        <is>
          <t>Adobe Q3 FY26 press release FY2026 targets footnote, verified 2026-10-02</t>
        </is>
      </c>
      <c r="E45" t="inlineStr">
        <is>
          <t>https://www.sec.gov/Archives/edgar/data/796343/000079634326000147/adbeex991q326.htm</t>
        </is>
      </c>
    </row>
    <row r="46">
      <c r="A46" t="inlineStr">
        <is>
          <t>Q4 FY26 target diluted share count</t>
        </is>
      </c>
      <c r="B46" s="4" t="n">
        <v>389</v>
      </c>
      <c r="C46" t="inlineStr">
        <is>
          <t>M</t>
        </is>
      </c>
      <c r="D46" t="inlineStr">
        <is>
          <t>Adobe Q3 FY26 press release Q4 targets footnote, verified 2026-10-02</t>
        </is>
      </c>
      <c r="E46" t="inlineStr">
        <is>
          <t>https://www.sec.gov/Archives/edgar/data/796343/000079634326000147/adbeex991q326.htm</t>
        </is>
      </c>
    </row>
    <row r="47">
      <c r="A47" t="inlineStr">
        <is>
          <t>Q3 FY26 shares repurchased</t>
        </is>
      </c>
      <c r="B47" s="4" t="n">
        <v>9.5</v>
      </c>
      <c r="C47" t="inlineStr">
        <is>
          <t>M</t>
        </is>
      </c>
      <c r="D47" t="inlineStr">
        <is>
          <t>Adobe Q3 FY26 press release, verified 2026-10-02</t>
        </is>
      </c>
      <c r="E47" t="inlineStr">
        <is>
          <t>https://www.sec.gov/Archives/edgar/data/796343/000079634326000147/adbeex991q326.htm</t>
        </is>
      </c>
    </row>
    <row r="48"/>
    <row r="49">
      <c r="A49" s="1" t="inlineStr">
        <is>
          <t>Derived (formulas)</t>
        </is>
      </c>
    </row>
    <row r="50">
      <c r="A50" t="inlineStr">
        <is>
          <t>Market cap (USD M)</t>
        </is>
      </c>
      <c r="B50" s="5">
        <f>Inputs!$B$5*Inputs!$B$6</f>
        <v/>
      </c>
    </row>
    <row r="51">
      <c r="A51" t="inlineStr">
        <is>
          <t>Net debt (USD M)</t>
        </is>
      </c>
      <c r="B51" s="5">
        <f>Inputs!$B$35-Inputs!$B$36</f>
        <v/>
      </c>
    </row>
    <row r="52">
      <c r="A52" t="inlineStr">
        <is>
          <t>Enterprise value (USD M)</t>
        </is>
      </c>
      <c r="B52" s="5">
        <f>B50+B51</f>
        <v/>
      </c>
    </row>
    <row r="53">
      <c r="A53" t="inlineStr">
        <is>
          <t>FY26 non-GAAP EPS midpoint</t>
        </is>
      </c>
      <c r="B53" s="5">
        <f>AVERAGE(Inputs!$B$22,Inputs!$B$23)</f>
        <v/>
      </c>
    </row>
    <row r="54">
      <c r="A54" t="inlineStr">
        <is>
          <t>P/E on FY26 non-GAAP EPS guide</t>
        </is>
      </c>
      <c r="B54" s="5">
        <f>B5/B53</f>
        <v/>
      </c>
    </row>
    <row r="55">
      <c r="A55" t="inlineStr">
        <is>
          <t>9M FY26 FCF (OCF - capex, USD M)</t>
        </is>
      </c>
      <c r="B55" s="5">
        <f>Inputs!$B$31-Inputs!$B$32</f>
        <v/>
      </c>
    </row>
    <row r="56">
      <c r="A56" t="inlineStr">
        <is>
          <t>9M FY26 FCF after SBC (USD M)</t>
        </is>
      </c>
      <c r="B56" s="5">
        <f>B55-Inputs!$B$33</f>
        <v/>
      </c>
    </row>
    <row r="57">
      <c r="A57" t="inlineStr">
        <is>
          <t>Annualized FCF (9M x 4/3, USD M)</t>
        </is>
      </c>
      <c r="B57" s="5">
        <f>B55*4/3</f>
        <v/>
      </c>
    </row>
    <row r="58">
      <c r="A58" t="inlineStr">
        <is>
          <t>EV / annualized FCF</t>
        </is>
      </c>
      <c r="B58" s="5">
        <f>B52/B57</f>
        <v/>
      </c>
    </row>
    <row r="59">
      <c r="A59" t="inlineStr">
        <is>
          <t>FCF yield on market cap (annualized)</t>
        </is>
      </c>
      <c r="B59" s="5">
        <f>B57/B50</f>
        <v/>
      </c>
    </row>
    <row r="60">
      <c r="A60" t="inlineStr">
        <is>
          <t>Q3 FY26 C&amp;MP YoY growth</t>
        </is>
      </c>
      <c r="B60" s="5">
        <f>Inputs!$B$8/Inputs!$B$9-1</f>
        <v/>
      </c>
    </row>
    <row r="61">
      <c r="A61" t="inlineStr">
        <is>
          <t>Q3 FY26 BP&amp;C YoY growth</t>
        </is>
      </c>
      <c r="B61" s="5">
        <f>Inputs!$B$10/Inputs!$B$11-1</f>
        <v/>
      </c>
    </row>
    <row r="62">
      <c r="A62" t="inlineStr">
        <is>
          <t>9M FY26 C&amp;MP YoY growth</t>
        </is>
      </c>
      <c r="B62" s="5">
        <f>Inputs!$B$12/Inputs!$B$13-1</f>
        <v/>
      </c>
    </row>
    <row r="63">
      <c r="A63" t="inlineStr">
        <is>
          <t>9M FY26 BP&amp;C YoY growth</t>
        </is>
      </c>
      <c r="B63" s="5">
        <f>Inputs!$B$14/Inputs!$B$15-1</f>
        <v/>
      </c>
    </row>
    <row r="64">
      <c r="A64" t="inlineStr">
        <is>
          <t>Implied Q4 FY26 C&amp;MP revenue (guide mid - 9M)</t>
        </is>
      </c>
      <c r="B64" s="5">
        <f>AVERAGE(Inputs!$B$18,Inputs!$B$19)-Inputs!$B$12</f>
        <v/>
      </c>
    </row>
    <row r="65">
      <c r="A65" t="inlineStr">
        <is>
          <t>Implied FY26 ending ARR (USD M)</t>
        </is>
      </c>
      <c r="B65" s="5">
        <f>Inputs!$B$25*(1+Inputs!$B$24)</f>
        <v/>
      </c>
    </row>
    <row r="66">
      <c r="A66" t="inlineStr">
        <is>
          <t>AI-first ARR as % of Q3 ending ARR</t>
        </is>
      </c>
      <c r="B66" s="5">
        <f>Inputs!$B$28/Inputs!$B$26</f>
        <v/>
      </c>
    </row>
    <row r="67">
      <c r="A67" t="inlineStr">
        <is>
          <t>Q3 FY26 non-GAAP operating margin</t>
        </is>
      </c>
      <c r="B67" s="5">
        <f>Inputs!$B$42/Inputs!$B$7</f>
        <v/>
      </c>
    </row>
    <row r="68">
      <c r="A68" t="inlineStr">
        <is>
          <t>Q3 FY26 cRPO (USD M)</t>
        </is>
      </c>
      <c r="B68" s="5">
        <f>Inputs!$B$40*Inputs!$B$41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8" customWidth="1" min="3" max="3"/>
    <col width="24" customWidth="1" min="4" max="4"/>
    <col width="22" customWidth="1" min="5" max="5"/>
    <col width="32" customWidth="1" min="6" max="6"/>
    <col width="29" customWidth="1" min="7" max="7"/>
    <col width="29" customWidth="1" min="8" max="8"/>
    <col width="29" customWidth="1" min="9" max="9"/>
    <col width="20" customWidth="1" min="10" max="10"/>
    <col width="11" customWidth="1" min="11" max="11"/>
    <col width="17" customWidth="1" min="12" max="12"/>
    <col width="14" customWidth="1" min="13" max="13"/>
    <col width="19" customWidth="1" min="14" max="14"/>
    <col width="16" customWidth="1" min="15" max="15"/>
    <col width="27" customWidth="1" min="16" max="16"/>
    <col width="40" customWidth="1" min="17" max="17"/>
  </cols>
  <sheetData>
    <row r="1">
      <c r="A1" s="1" t="inlineStr">
        <is>
          <t>WS2: revenue per creative worker / seat compression (blue = sourced input; black = formula)</t>
        </is>
      </c>
    </row>
    <row r="2">
      <c r="A2" s="2" t="inlineStr">
        <is>
          <t>MISMATCH: Adobe revenue is GLOBAL (fiscal year ending Nov/Dec); employment is US-only BLS OEWS wage-and-salary (May reference). Indices only, not per-seat dollars.</t>
        </is>
      </c>
    </row>
    <row r="3"/>
    <row r="4">
      <c r="A4" s="1" t="inlineStr">
        <is>
          <t>A. BLS OEWS national employment (May) and Adobe revenue (USD bn), 2019-2025</t>
        </is>
      </c>
    </row>
    <row r="5">
      <c r="A5" s="3" t="inlineStr">
        <is>
          <t>year</t>
        </is>
      </c>
      <c r="B5" s="3" t="inlineStr">
        <is>
          <t>27-1024</t>
        </is>
      </c>
      <c r="C5" s="3" t="inlineStr">
        <is>
          <t>27-1011</t>
        </is>
      </c>
      <c r="D5" s="3" t="inlineStr">
        <is>
          <t>27-1014</t>
        </is>
      </c>
      <c r="E5" s="3" t="inlineStr">
        <is>
          <t>27-4032</t>
        </is>
      </c>
      <c r="F5" s="3" t="inlineStr">
        <is>
          <t>27-4021</t>
        </is>
      </c>
      <c r="G5" s="3" t="inlineStr">
        <is>
          <t>11-2021</t>
        </is>
      </c>
      <c r="H5" s="3" t="inlineStr">
        <is>
          <t>13-1161</t>
        </is>
      </c>
      <c r="I5" s="3" t="inlineStr">
        <is>
          <t>creative5_sum (f)</t>
        </is>
      </c>
      <c r="J5" s="3" t="inlineStr">
        <is>
          <t>marketing2_sum (f)</t>
        </is>
      </c>
      <c r="K5" s="3" t="inlineStr">
        <is>
          <t>DM_rev_bn</t>
        </is>
      </c>
      <c r="L5" s="3" t="inlineStr">
        <is>
          <t>creative_rev_bn</t>
        </is>
      </c>
      <c r="M5" s="3" t="inlineStr">
        <is>
          <t>total_rev_bn</t>
        </is>
      </c>
      <c r="N5" s="3" t="inlineStr">
        <is>
          <t>creative5_idx (f)</t>
        </is>
      </c>
      <c r="O5" s="3" t="inlineStr">
        <is>
          <t>DM_rev_idx (f)</t>
        </is>
      </c>
      <c r="P5" s="3" t="inlineStr">
        <is>
          <t>DM_rev_per_worker_idx (f)</t>
        </is>
      </c>
      <c r="Q5" s="3" t="inlineStr">
        <is>
          <t>creative_rev_per_worker_idx (f)</t>
        </is>
      </c>
    </row>
    <row r="6">
      <c r="A6" t="n">
        <v>2019</v>
      </c>
      <c r="B6" s="4" t="n">
        <v>215930</v>
      </c>
      <c r="C6" s="4" t="n">
        <v>42890</v>
      </c>
      <c r="D6" s="4" t="n">
        <v>29340</v>
      </c>
      <c r="E6" s="4" t="n">
        <v>27570</v>
      </c>
      <c r="F6" s="4" t="n">
        <v>50620</v>
      </c>
      <c r="G6" s="4" t="n">
        <v>263680</v>
      </c>
      <c r="H6" s="4" t="n">
        <v>678500</v>
      </c>
      <c r="I6">
        <f>SUM(B6:F6)</f>
        <v/>
      </c>
      <c r="J6">
        <f>G6+H6</f>
        <v/>
      </c>
      <c r="K6" s="4" t="n">
        <v>7.71</v>
      </c>
      <c r="L6" s="4" t="n">
        <v>6.48</v>
      </c>
      <c r="M6" s="4" t="n">
        <v>11.17</v>
      </c>
      <c r="N6" s="7">
        <f>I6/I$6*100</f>
        <v/>
      </c>
      <c r="O6" s="7">
        <f>K6/K$6*100</f>
        <v/>
      </c>
      <c r="P6" s="7">
        <f>(K6/I6)/(K$6/I$6)*100</f>
        <v/>
      </c>
      <c r="Q6" s="7">
        <f>IF(L6="","",(L6/I6)/(L$6/I$6)*100)</f>
        <v/>
      </c>
    </row>
    <row r="7">
      <c r="A7" t="n">
        <v>2020</v>
      </c>
      <c r="B7" s="4" t="n">
        <v>201440</v>
      </c>
      <c r="C7" s="4" t="n">
        <v>40950</v>
      </c>
      <c r="D7" s="4" t="n">
        <v>26460</v>
      </c>
      <c r="E7" s="4" t="n">
        <v>22410</v>
      </c>
      <c r="F7" s="4" t="n">
        <v>41600</v>
      </c>
      <c r="G7" s="4" t="n">
        <v>270200</v>
      </c>
      <c r="H7" s="4" t="n">
        <v>690160</v>
      </c>
      <c r="I7">
        <f>SUM(B7:F7)</f>
        <v/>
      </c>
      <c r="J7">
        <f>G7+H7</f>
        <v/>
      </c>
      <c r="K7" s="4" t="n">
        <v>9.23</v>
      </c>
      <c r="L7" s="4" t="n">
        <v>7.74</v>
      </c>
      <c r="M7" s="4" t="n">
        <v>12.87</v>
      </c>
      <c r="N7" s="7">
        <f>I7/I$6*100</f>
        <v/>
      </c>
      <c r="O7" s="7">
        <f>K7/K$6*100</f>
        <v/>
      </c>
      <c r="P7" s="7">
        <f>(K7/I7)/(K$6/I$6)*100</f>
        <v/>
      </c>
      <c r="Q7" s="7">
        <f>IF(L7="","",(L7/I7)/(L$6/I$6)*100)</f>
        <v/>
      </c>
    </row>
    <row r="8">
      <c r="A8" t="n">
        <v>2021</v>
      </c>
      <c r="B8" s="4" t="n">
        <v>204040</v>
      </c>
      <c r="C8" s="4" t="n">
        <v>42080</v>
      </c>
      <c r="D8" s="4" t="n">
        <v>20430</v>
      </c>
      <c r="E8" s="4" t="n">
        <v>28030</v>
      </c>
      <c r="F8" s="4" t="n">
        <v>38420</v>
      </c>
      <c r="G8" s="4" t="n">
        <v>278690</v>
      </c>
      <c r="H8" s="4" t="n">
        <v>727540</v>
      </c>
      <c r="I8">
        <f>SUM(B8:F8)</f>
        <v/>
      </c>
      <c r="J8">
        <f>G8+H8</f>
        <v/>
      </c>
      <c r="K8" s="4" t="n">
        <v>11.52</v>
      </c>
      <c r="L8" s="4" t="n">
        <v>9.550000000000001</v>
      </c>
      <c r="M8" s="4" t="n">
        <v>15.79</v>
      </c>
      <c r="N8" s="7">
        <f>I8/I$6*100</f>
        <v/>
      </c>
      <c r="O8" s="7">
        <f>K8/K$6*100</f>
        <v/>
      </c>
      <c r="P8" s="7">
        <f>(K8/I8)/(K$6/I$6)*100</f>
        <v/>
      </c>
      <c r="Q8" s="7">
        <f>IF(L8="","",(L8/I8)/(L$6/I$6)*100)</f>
        <v/>
      </c>
    </row>
    <row r="9">
      <c r="A9" t="n">
        <v>2022</v>
      </c>
      <c r="B9" s="4" t="n">
        <v>211890</v>
      </c>
      <c r="C9" s="4" t="n">
        <v>54470</v>
      </c>
      <c r="D9" s="4" t="n">
        <v>35990</v>
      </c>
      <c r="E9" s="4" t="n">
        <v>32080</v>
      </c>
      <c r="F9" s="4" t="n">
        <v>47380</v>
      </c>
      <c r="G9" s="4" t="n">
        <v>328570</v>
      </c>
      <c r="H9" s="4" t="n">
        <v>798620</v>
      </c>
      <c r="I9">
        <f>SUM(B9:F9)</f>
        <v/>
      </c>
      <c r="J9">
        <f>G9+H9</f>
        <v/>
      </c>
      <c r="K9" s="4" t="n">
        <v>12.84</v>
      </c>
      <c r="L9" s="4" t="n">
        <v>10.46</v>
      </c>
      <c r="M9" s="4" t="n">
        <v>17.61</v>
      </c>
      <c r="N9" s="7">
        <f>I9/I$6*100</f>
        <v/>
      </c>
      <c r="O9" s="7">
        <f>K9/K$6*100</f>
        <v/>
      </c>
      <c r="P9" s="7">
        <f>(K9/I9)/(K$6/I$6)*100</f>
        <v/>
      </c>
      <c r="Q9" s="7">
        <f>IF(L9="","",(L9/I9)/(L$6/I$6)*100)</f>
        <v/>
      </c>
    </row>
    <row r="10">
      <c r="A10" t="n">
        <v>2023</v>
      </c>
      <c r="B10" s="4" t="n">
        <v>212720</v>
      </c>
      <c r="C10" s="4" t="n">
        <v>51200</v>
      </c>
      <c r="D10" s="4" t="n">
        <v>29940</v>
      </c>
      <c r="E10" s="4" t="n">
        <v>29240</v>
      </c>
      <c r="F10" s="4" t="n">
        <v>53630</v>
      </c>
      <c r="G10" s="4" t="n">
        <v>368940</v>
      </c>
      <c r="H10" s="4" t="n">
        <v>846370</v>
      </c>
      <c r="I10">
        <f>SUM(B10:F10)</f>
        <v/>
      </c>
      <c r="J10">
        <f>G10+H10</f>
        <v/>
      </c>
      <c r="K10" s="4" t="n">
        <v>14.22</v>
      </c>
      <c r="L10" s="4" t="n">
        <v>11.52</v>
      </c>
      <c r="M10" s="4" t="n">
        <v>19.41</v>
      </c>
      <c r="N10" s="7">
        <f>I10/I$6*100</f>
        <v/>
      </c>
      <c r="O10" s="7">
        <f>K10/K$6*100</f>
        <v/>
      </c>
      <c r="P10" s="7">
        <f>(K10/I10)/(K$6/I$6)*100</f>
        <v/>
      </c>
      <c r="Q10" s="7">
        <f>IF(L10="","",(L10/I10)/(L$6/I$6)*100)</f>
        <v/>
      </c>
    </row>
    <row r="11">
      <c r="A11" t="n">
        <v>2024</v>
      </c>
      <c r="B11" s="4" t="n">
        <v>214260</v>
      </c>
      <c r="C11" s="4" t="n">
        <v>50370</v>
      </c>
      <c r="D11" s="4" t="n">
        <v>21280</v>
      </c>
      <c r="E11" s="4" t="n">
        <v>28860</v>
      </c>
      <c r="F11" s="4" t="n">
        <v>51230</v>
      </c>
      <c r="G11" s="4" t="n">
        <v>384980</v>
      </c>
      <c r="H11" s="4" t="n">
        <v>861140</v>
      </c>
      <c r="I11">
        <f>SUM(B11:F11)</f>
        <v/>
      </c>
      <c r="J11">
        <f>G11+H11</f>
        <v/>
      </c>
      <c r="K11" s="4" t="n">
        <v>15.86</v>
      </c>
      <c r="L11" s="4" t="n">
        <v>12.68</v>
      </c>
      <c r="M11" s="4" t="n">
        <v>21.51</v>
      </c>
      <c r="N11" s="7">
        <f>I11/I$6*100</f>
        <v/>
      </c>
      <c r="O11" s="7">
        <f>K11/K$6*100</f>
        <v/>
      </c>
      <c r="P11" s="7">
        <f>(K11/I11)/(K$6/I$6)*100</f>
        <v/>
      </c>
      <c r="Q11" s="7">
        <f>IF(L11="","",(L11/I11)/(L$6/I$6)*100)</f>
        <v/>
      </c>
    </row>
    <row r="12">
      <c r="A12" t="n">
        <v>2025</v>
      </c>
      <c r="B12" s="4" t="n">
        <v>197830</v>
      </c>
      <c r="C12" s="4" t="n">
        <v>53070</v>
      </c>
      <c r="D12" s="4" t="n">
        <v>19970</v>
      </c>
      <c r="E12" s="4" t="n">
        <v>25610</v>
      </c>
      <c r="F12" s="4" t="n">
        <v>51760</v>
      </c>
      <c r="G12" s="4" t="n">
        <v>395240</v>
      </c>
      <c r="H12" s="4" t="n">
        <v>899580</v>
      </c>
      <c r="I12">
        <f>SUM(B12:F12)</f>
        <v/>
      </c>
      <c r="J12">
        <f>G12+H12</f>
        <v/>
      </c>
      <c r="K12" s="4" t="n">
        <v>17.65</v>
      </c>
      <c r="L12" s="4" t="n"/>
      <c r="M12" s="4" t="n">
        <v>23.77</v>
      </c>
      <c r="N12" s="7">
        <f>I12/I$6*100</f>
        <v/>
      </c>
      <c r="O12" s="7">
        <f>K12/K$6*100</f>
        <v/>
      </c>
      <c r="P12" s="7">
        <f>(K12/I12)/(K$6/I$6)*100</f>
        <v/>
      </c>
      <c r="Q12" s="7">
        <f>IF(L12="","",(L12/I12)/(L$6/I$6)*100)</f>
        <v/>
      </c>
    </row>
    <row r="13"/>
    <row r="14">
      <c r="A14" s="1" t="inlineStr">
        <is>
          <t>B. Achieved revenue-per-US-creative-worker growth (formulas)</t>
        </is>
      </c>
    </row>
    <row r="15">
      <c r="A15" t="inlineStr">
        <is>
          <t>DM rev per creative worker CAGR FY19-FY25</t>
        </is>
      </c>
      <c r="B15" s="8">
        <f>((K12/I12)/(K6/I6))^(1/(12-6))-1</f>
        <v/>
      </c>
    </row>
    <row r="16">
      <c r="A16" t="inlineStr">
        <is>
          <t>Creative rev per creative worker CAGR FY19-FY24</t>
        </is>
      </c>
      <c r="B16" s="8">
        <f>((L11/I11)/(L6/I6))^(1/(11-6))-1</f>
        <v/>
      </c>
    </row>
    <row r="17">
      <c r="A17" t="inlineStr">
        <is>
          <t>DM rev per creative worker growth FY24-&gt;FY25</t>
        </is>
      </c>
      <c r="B17" s="8">
        <f>(K12/I12)/(K11/I11)-1</f>
        <v/>
      </c>
    </row>
    <row r="18">
      <c r="A18" t="inlineStr">
        <is>
          <t>Creative5 employment change May-24 -&gt; May-25</t>
        </is>
      </c>
      <c r="B18" s="8">
        <f>I12/I11-1</f>
        <v/>
      </c>
    </row>
    <row r="19">
      <c r="A19" t="inlineStr">
        <is>
          <t>Graphic designers change May-24 -&gt; May-25</t>
        </is>
      </c>
      <c r="B19" s="8">
        <f>B12/B11-1</f>
        <v/>
      </c>
    </row>
    <row r="20"/>
    <row r="21">
      <c r="A21" s="1" t="inlineStr">
        <is>
          <t>C. Required per-worker growth to sustain target ARR growth under headcount scenarios (formulas)</t>
        </is>
      </c>
    </row>
    <row r="22">
      <c r="A22" t="inlineStr">
        <is>
          <t>Target ARR growth</t>
        </is>
      </c>
      <c r="B22" s="9" t="n">
        <v>0.1</v>
      </c>
    </row>
    <row r="23">
      <c r="A23" t="inlineStr">
        <is>
          <t>Creative5 employment base (May 2025)</t>
        </is>
      </c>
      <c r="B23">
        <f>I12</f>
        <v/>
      </c>
    </row>
    <row r="24">
      <c r="A24" s="3" t="inlineStr">
        <is>
          <t>scenario</t>
        </is>
      </c>
      <c r="B24" s="3" t="inlineStr">
        <is>
          <t>annual headcount growth</t>
        </is>
      </c>
      <c r="C24" s="3" t="inlineStr">
        <is>
          <t>emp 2026 (f)</t>
        </is>
      </c>
      <c r="D24" s="3" t="inlineStr">
        <is>
          <t>emp 2027 (f)</t>
        </is>
      </c>
      <c r="E24" s="3" t="inlineStr">
        <is>
          <t>emp 2028 (f)</t>
        </is>
      </c>
      <c r="F24" s="3" t="inlineStr">
        <is>
          <t>required per-worker growth (f)</t>
        </is>
      </c>
      <c r="G24" s="3" t="inlineStr">
        <is>
          <t>achieved FY19-25 CAGR</t>
        </is>
      </c>
      <c r="H24" s="3" t="inlineStr">
        <is>
          <t>gap (achieved - required)</t>
        </is>
      </c>
    </row>
    <row r="25">
      <c r="A25" t="inlineStr">
        <is>
          <t>Flat headcount</t>
        </is>
      </c>
      <c r="B25" s="10" t="n">
        <v>0</v>
      </c>
      <c r="C25" s="11">
        <f>$B$23*(1+B25)^1</f>
        <v/>
      </c>
      <c r="D25" s="11">
        <f>$B$23*(1+B25)^2</f>
        <v/>
      </c>
      <c r="E25" s="11">
        <f>$B$23*(1+B25)^3</f>
        <v/>
      </c>
      <c r="F25" s="8">
        <f>(1+$B$22)/(1+B25)-1</f>
        <v/>
      </c>
      <c r="G25" s="8">
        <f>$B$15</f>
        <v/>
      </c>
      <c r="H25" s="8">
        <f>G25-F25</f>
        <v/>
      </c>
    </row>
    <row r="26">
      <c r="A26" t="inlineStr">
        <is>
          <t>-3%/yr headcount</t>
        </is>
      </c>
      <c r="B26" s="10" t="n">
        <v>-0.03</v>
      </c>
      <c r="C26" s="11">
        <f>$B$23*(1+B26)^1</f>
        <v/>
      </c>
      <c r="D26" s="11">
        <f>$B$23*(1+B26)^2</f>
        <v/>
      </c>
      <c r="E26" s="11">
        <f>$B$23*(1+B26)^3</f>
        <v/>
      </c>
      <c r="F26" s="8">
        <f>(1+$B$22)/(1+B26)-1</f>
        <v/>
      </c>
      <c r="G26" s="8">
        <f>$B$15</f>
        <v/>
      </c>
      <c r="H26" s="8">
        <f>G26-F26</f>
        <v/>
      </c>
    </row>
    <row r="27">
      <c r="A27" t="inlineStr">
        <is>
          <t>-7%/yr headcount</t>
        </is>
      </c>
      <c r="B27" s="10" t="n">
        <v>-0.07000000000000001</v>
      </c>
      <c r="C27" s="11">
        <f>$B$23*(1+B27)^1</f>
        <v/>
      </c>
      <c r="D27" s="11">
        <f>$B$23*(1+B27)^2</f>
        <v/>
      </c>
      <c r="E27" s="11">
        <f>$B$23*(1+B27)^3</f>
        <v/>
      </c>
      <c r="F27" s="8">
        <f>(1+$B$22)/(1+B27)-1</f>
        <v/>
      </c>
      <c r="G27" s="8">
        <f>$B$15</f>
        <v/>
      </c>
      <c r="H27" s="8">
        <f>G27-F27</f>
        <v/>
      </c>
    </row>
    <row r="28">
      <c r="A28" t="inlineStr">
        <is>
          <t>BLS 2024-34 projection CAGR</t>
        </is>
      </c>
      <c r="B28" s="10" t="n">
        <v>0.0025</v>
      </c>
      <c r="C28" s="11">
        <f>$B$23*(1+B28)^1</f>
        <v/>
      </c>
      <c r="D28" s="11">
        <f>$B$23*(1+B28)^2</f>
        <v/>
      </c>
      <c r="E28" s="11">
        <f>$B$23*(1+B28)^3</f>
        <v/>
      </c>
      <c r="F28" s="8">
        <f>(1+$B$22)/(1+B28)-1</f>
        <v/>
      </c>
      <c r="G28" s="8">
        <f>$B$15</f>
        <v/>
      </c>
      <c r="H28" s="8">
        <f>G28-F28</f>
        <v/>
      </c>
    </row>
    <row r="29">
      <c r="A29" t="inlineStr">
        <is>
          <t>BLS 2025-35 projection CAGR (Sep-2026 OOH update)</t>
        </is>
      </c>
      <c r="B29" s="10" t="n">
        <v>-0.0005</v>
      </c>
      <c r="C29" s="11">
        <f>$B$23*(1+B29)^1</f>
        <v/>
      </c>
      <c r="D29" s="11">
        <f>$B$23*(1+B29)^2</f>
        <v/>
      </c>
      <c r="E29" s="11">
        <f>$B$23*(1+B29)^3</f>
        <v/>
      </c>
      <c r="F29" s="8">
        <f>(1+$B$22)/(1+B29)-1</f>
        <v/>
      </c>
      <c r="G29" s="8">
        <f>$B$15</f>
        <v/>
      </c>
      <c r="H29" s="8">
        <f>G29-F29</f>
        <v/>
      </c>
    </row>
    <row r="30">
      <c r="A30" t="inlineStr">
        <is>
          <t>Postings-based (Indeed creative YoY x beta)</t>
        </is>
      </c>
      <c r="B30" s="10" t="n">
        <v>0.0074</v>
      </c>
      <c r="C30" s="11">
        <f>$B$23*(1+B30)^1</f>
        <v/>
      </c>
      <c r="D30" s="11">
        <f>$B$23*(1+B30)^2</f>
        <v/>
      </c>
      <c r="E30" s="11">
        <f>$B$23*(1+B30)^3</f>
        <v/>
      </c>
      <c r="F30" s="8">
        <f>(1+$B$22)/(1+B30)-1</f>
        <v/>
      </c>
      <c r="G30" s="8">
        <f>$B$15</f>
        <v/>
      </c>
      <c r="H30" s="8">
        <f>G30-F30</f>
        <v/>
      </c>
    </row>
    <row r="31">
      <c r="A31" t="inlineStr">
        <is>
          <t>Trend: 2019-2025 OEWS CAGR</t>
        </is>
      </c>
      <c r="B31" s="10" t="n">
        <v>-0.008399999999999999</v>
      </c>
      <c r="C31" s="11">
        <f>$B$23*(1+B31)^1</f>
        <v/>
      </c>
      <c r="D31" s="11">
        <f>$B$23*(1+B31)^2</f>
        <v/>
      </c>
      <c r="E31" s="11">
        <f>$B$23*(1+B31)^3</f>
        <v/>
      </c>
      <c r="F31" s="8">
        <f>(1+$B$22)/(1+B31)-1</f>
        <v/>
      </c>
      <c r="G31" s="8">
        <f>$B$15</f>
        <v/>
      </c>
      <c r="H31" s="8">
        <f>G31-F31</f>
        <v/>
      </c>
    </row>
    <row r="32">
      <c r="A32" t="inlineStr">
        <is>
          <t>Stress: repeat of 2024-&gt;2025 drop</t>
        </is>
      </c>
      <c r="B32" s="10" t="n">
        <v>-0.0485</v>
      </c>
      <c r="C32" s="11">
        <f>$B$23*(1+B32)^1</f>
        <v/>
      </c>
      <c r="D32" s="11">
        <f>$B$23*(1+B32)^2</f>
        <v/>
      </c>
      <c r="E32" s="11">
        <f>$B$23*(1+B32)^3</f>
        <v/>
      </c>
      <c r="F32" s="8">
        <f>(1+$B$22)/(1+B32)-1</f>
        <v/>
      </c>
      <c r="G32" s="8">
        <f>$B$15</f>
        <v/>
      </c>
      <c r="H32" s="8">
        <f>G32-F32</f>
        <v/>
      </c>
    </row>
    <row r="33"/>
    <row r="34">
      <c r="A34" s="1" t="inlineStr">
        <is>
          <t>D. Advertising holding-company year-end headcount (blue) with 2019=100 index (formula)</t>
        </is>
      </c>
    </row>
    <row r="35">
      <c r="A35" s="3" t="inlineStr">
        <is>
          <t>year</t>
        </is>
      </c>
      <c r="B35" s="3" t="inlineStr">
        <is>
          <t>Interpublic</t>
        </is>
      </c>
      <c r="C35" s="3" t="inlineStr">
        <is>
          <t>Omnicom</t>
        </is>
      </c>
      <c r="D35" s="3" t="inlineStr">
        <is>
          <t>Publicis</t>
        </is>
      </c>
      <c r="E35" s="3" t="inlineStr">
        <is>
          <t>WPP</t>
        </is>
      </c>
      <c r="F35" s="3" t="inlineStr">
        <is>
          <t>Interpublic idx (f)</t>
        </is>
      </c>
      <c r="G35" s="3" t="inlineStr">
        <is>
          <t>Omnicom idx (f)</t>
        </is>
      </c>
      <c r="H35" s="3" t="inlineStr">
        <is>
          <t>Publicis idx (f)</t>
        </is>
      </c>
      <c r="I35" s="3" t="inlineStr">
        <is>
          <t>WPP idx (f)</t>
        </is>
      </c>
    </row>
    <row r="36">
      <c r="A36" t="n">
        <v>2019</v>
      </c>
      <c r="B36" s="4" t="n">
        <v>54300</v>
      </c>
      <c r="C36" s="4" t="n">
        <v>70000</v>
      </c>
      <c r="D36" s="4" t="n">
        <v>83235</v>
      </c>
      <c r="E36" s="4" t="n">
        <v>106478</v>
      </c>
      <c r="F36" s="7">
        <f>IF(B36="","",B36/B$36*100)</f>
        <v/>
      </c>
      <c r="G36" s="7">
        <f>IF(C36="","",C36/C$36*100)</f>
        <v/>
      </c>
      <c r="H36" s="7">
        <f>IF(D36="","",D36/D$36*100)</f>
        <v/>
      </c>
      <c r="I36" s="7">
        <f>IF(E36="","",E36/E$36*100)</f>
        <v/>
      </c>
    </row>
    <row r="37">
      <c r="A37" t="n">
        <v>2020</v>
      </c>
      <c r="B37" s="4" t="n">
        <v>50200</v>
      </c>
      <c r="C37" s="4" t="n">
        <v>64100</v>
      </c>
      <c r="D37" s="4" t="n">
        <v>79051</v>
      </c>
      <c r="E37" s="4" t="n">
        <v>99830</v>
      </c>
      <c r="F37" s="7">
        <f>IF(B37="","",B37/B$36*100)</f>
        <v/>
      </c>
      <c r="G37" s="7">
        <f>IF(C37="","",C37/C$36*100)</f>
        <v/>
      </c>
      <c r="H37" s="7">
        <f>IF(D37="","",D37/D$36*100)</f>
        <v/>
      </c>
      <c r="I37" s="7">
        <f>IF(E37="","",E37/E$36*100)</f>
        <v/>
      </c>
    </row>
    <row r="38">
      <c r="A38" t="n">
        <v>2021</v>
      </c>
      <c r="B38" s="4" t="n">
        <v>55600</v>
      </c>
      <c r="C38" s="4" t="n">
        <v>71700</v>
      </c>
      <c r="D38" s="4" t="n">
        <v>88531</v>
      </c>
      <c r="E38" s="4" t="n">
        <v>109382</v>
      </c>
      <c r="F38" s="7">
        <f>IF(B38="","",B38/B$36*100)</f>
        <v/>
      </c>
      <c r="G38" s="7">
        <f>IF(C38="","",C38/C$36*100)</f>
        <v/>
      </c>
      <c r="H38" s="7">
        <f>IF(D38="","",D38/D$36*100)</f>
        <v/>
      </c>
      <c r="I38" s="7">
        <f>IF(E38="","",E38/E$36*100)</f>
        <v/>
      </c>
    </row>
    <row r="39">
      <c r="A39" t="n">
        <v>2022</v>
      </c>
      <c r="B39" s="4" t="n">
        <v>58400</v>
      </c>
      <c r="C39" s="4" t="n">
        <v>74200</v>
      </c>
      <c r="D39" s="4" t="n">
        <v>98022</v>
      </c>
      <c r="E39" s="4" t="n">
        <v>115473</v>
      </c>
      <c r="F39" s="7">
        <f>IF(B39="","",B39/B$36*100)</f>
        <v/>
      </c>
      <c r="G39" s="7">
        <f>IF(C39="","",C39/C$36*100)</f>
        <v/>
      </c>
      <c r="H39" s="7">
        <f>IF(D39="","",D39/D$36*100)</f>
        <v/>
      </c>
      <c r="I39" s="7">
        <f>IF(E39="","",E39/E$36*100)</f>
        <v/>
      </c>
    </row>
    <row r="40">
      <c r="A40" t="n">
        <v>2023</v>
      </c>
      <c r="B40" s="4" t="n">
        <v>57400</v>
      </c>
      <c r="C40" s="4" t="n">
        <v>75900</v>
      </c>
      <c r="D40" s="4" t="n">
        <v>103295</v>
      </c>
      <c r="E40" s="4" t="n">
        <v>114173</v>
      </c>
      <c r="F40" s="7">
        <f>IF(B40="","",B40/B$36*100)</f>
        <v/>
      </c>
      <c r="G40" s="7">
        <f>IF(C40="","",C40/C$36*100)</f>
        <v/>
      </c>
      <c r="H40" s="7">
        <f>IF(D40="","",D40/D$36*100)</f>
        <v/>
      </c>
      <c r="I40" s="7">
        <f>IF(E40="","",E40/E$36*100)</f>
        <v/>
      </c>
    </row>
    <row r="41">
      <c r="A41" t="n">
        <v>2024</v>
      </c>
      <c r="B41" s="4" t="n">
        <v>53300</v>
      </c>
      <c r="C41" s="4" t="n">
        <v>74900</v>
      </c>
      <c r="D41" s="4" t="n">
        <v>108179</v>
      </c>
      <c r="E41" s="4" t="n">
        <v>108044</v>
      </c>
      <c r="F41" s="7">
        <f>IF(B41="","",B41/B$36*100)</f>
        <v/>
      </c>
      <c r="G41" s="7">
        <f>IF(C41="","",C41/C$36*100)</f>
        <v/>
      </c>
      <c r="H41" s="7">
        <f>IF(D41="","",D41/D$36*100)</f>
        <v/>
      </c>
      <c r="I41" s="7">
        <f>IF(E41="","",E41/E$36*100)</f>
        <v/>
      </c>
    </row>
    <row r="42">
      <c r="A42" t="n">
        <v>2025</v>
      </c>
      <c r="B42" s="4" t="n"/>
      <c r="C42" s="4" t="n">
        <v>120000</v>
      </c>
      <c r="D42" s="4" t="n">
        <v>114000</v>
      </c>
      <c r="E42" s="4" t="n">
        <v>98655</v>
      </c>
      <c r="F42" s="7">
        <f>IF(B42="","",B42/B$36*100)</f>
        <v/>
      </c>
      <c r="G42" s="7">
        <f>IF(C42="","",C42/C$36*100)</f>
        <v/>
      </c>
      <c r="H42" s="7">
        <f>IF(D42="","",D42/D$36*100)</f>
        <v/>
      </c>
      <c r="I42" s="7">
        <f>IF(E42="","",E42/E$36*100)</f>
        <v/>
      </c>
    </row>
    <row r="43"/>
    <row r="44">
      <c r="A44" s="1" t="inlineStr">
        <is>
          <t>E. Indeed Hiring Lab US job postings index (Feb-2020 = 100), monthly (blue); latest month and YoY (formula)</t>
        </is>
      </c>
    </row>
    <row r="45">
      <c r="A45" s="3" t="inlineStr">
        <is>
          <t>month</t>
        </is>
      </c>
      <c r="B45" s="3" t="inlineStr">
        <is>
          <t>Arts &amp; Entertainment</t>
        </is>
      </c>
      <c r="C45" s="3" t="inlineStr">
        <is>
          <t>Marketing</t>
        </is>
      </c>
      <c r="D45" s="3" t="inlineStr">
        <is>
          <t>Media &amp; Communications</t>
        </is>
      </c>
      <c r="E45" s="3" t="inlineStr">
        <is>
          <t>Software Development</t>
        </is>
      </c>
      <c r="F45" s="3" t="inlineStr">
        <is>
          <t>Total (SA)</t>
        </is>
      </c>
      <c r="G45" s="3" t="inlineStr">
        <is>
          <t>Total (NSA)</t>
        </is>
      </c>
    </row>
    <row r="46">
      <c r="A46" t="inlineStr">
        <is>
          <t>2020-02</t>
        </is>
      </c>
      <c r="B46" s="4" t="n">
        <v>99.18000000000001</v>
      </c>
      <c r="C46" s="4" t="n">
        <v>100.6</v>
      </c>
      <c r="D46" s="4" t="n">
        <v>101.1</v>
      </c>
      <c r="E46" s="4" t="n">
        <v>99.65000000000001</v>
      </c>
      <c r="F46" s="4" t="n">
        <v>100.05</v>
      </c>
      <c r="G46" s="4" t="n">
        <v>100.6</v>
      </c>
    </row>
    <row r="47">
      <c r="A47" t="inlineStr">
        <is>
          <t>2020-03</t>
        </is>
      </c>
      <c r="B47" s="4" t="n">
        <v>92.69</v>
      </c>
      <c r="C47" s="4" t="n">
        <v>93.69</v>
      </c>
      <c r="D47" s="4" t="n">
        <v>94.48999999999999</v>
      </c>
      <c r="E47" s="4" t="n">
        <v>98.22</v>
      </c>
      <c r="F47" s="4" t="n">
        <v>94.52</v>
      </c>
      <c r="G47" s="4" t="n">
        <v>97.26000000000001</v>
      </c>
    </row>
    <row r="48">
      <c r="A48" t="inlineStr">
        <is>
          <t>2020-04</t>
        </is>
      </c>
      <c r="B48" s="4" t="n">
        <v>58.36</v>
      </c>
      <c r="C48" s="4" t="n">
        <v>53.29</v>
      </c>
      <c r="D48" s="4" t="n">
        <v>58.99</v>
      </c>
      <c r="E48" s="4" t="n">
        <v>77.41</v>
      </c>
      <c r="F48" s="4" t="n">
        <v>68.2</v>
      </c>
      <c r="G48" s="4" t="n">
        <v>71.44</v>
      </c>
    </row>
    <row r="49">
      <c r="A49" t="inlineStr">
        <is>
          <t>2020-05</t>
        </is>
      </c>
      <c r="B49" s="4" t="n">
        <v>49.58</v>
      </c>
      <c r="C49" s="4" t="n">
        <v>44.71</v>
      </c>
      <c r="D49" s="4" t="n">
        <v>51.01</v>
      </c>
      <c r="E49" s="4" t="n">
        <v>66.54000000000001</v>
      </c>
      <c r="F49" s="4" t="n">
        <v>62.9</v>
      </c>
      <c r="G49" s="4" t="n">
        <v>66.78</v>
      </c>
    </row>
    <row r="50">
      <c r="A50" t="inlineStr">
        <is>
          <t>2020-06</t>
        </is>
      </c>
      <c r="B50" s="4" t="n">
        <v>51.94</v>
      </c>
      <c r="C50" s="4" t="n">
        <v>47.64</v>
      </c>
      <c r="D50" s="4" t="n">
        <v>54.75</v>
      </c>
      <c r="E50" s="4" t="n">
        <v>65.23</v>
      </c>
      <c r="F50" s="4" t="n">
        <v>70.05</v>
      </c>
      <c r="G50" s="4" t="n">
        <v>73.34</v>
      </c>
    </row>
    <row r="51">
      <c r="A51" t="inlineStr">
        <is>
          <t>2020-07</t>
        </is>
      </c>
      <c r="B51" s="4" t="n">
        <v>56.51</v>
      </c>
      <c r="C51" s="4" t="n">
        <v>53.13</v>
      </c>
      <c r="D51" s="4" t="n">
        <v>59.69</v>
      </c>
      <c r="E51" s="4" t="n">
        <v>67.31999999999999</v>
      </c>
      <c r="F51" s="4" t="n">
        <v>78.26000000000001</v>
      </c>
      <c r="G51" s="4" t="n">
        <v>80.73</v>
      </c>
    </row>
    <row r="52">
      <c r="A52" t="inlineStr">
        <is>
          <t>2020-08</t>
        </is>
      </c>
      <c r="B52" s="4" t="n">
        <v>59.86</v>
      </c>
      <c r="C52" s="4" t="n">
        <v>58.31</v>
      </c>
      <c r="D52" s="4" t="n">
        <v>60.2</v>
      </c>
      <c r="E52" s="4" t="n">
        <v>70.06</v>
      </c>
      <c r="F52" s="4" t="n">
        <v>82.95999999999999</v>
      </c>
      <c r="G52" s="4" t="n">
        <v>86.65000000000001</v>
      </c>
    </row>
    <row r="53">
      <c r="A53" t="inlineStr">
        <is>
          <t>2020-09</t>
        </is>
      </c>
      <c r="B53" s="4" t="n">
        <v>63.48</v>
      </c>
      <c r="C53" s="4" t="n">
        <v>65.59999999999999</v>
      </c>
      <c r="D53" s="4" t="n">
        <v>64.47</v>
      </c>
      <c r="E53" s="4" t="n">
        <v>72.94</v>
      </c>
      <c r="F53" s="4" t="n">
        <v>86.31</v>
      </c>
      <c r="G53" s="4" t="n">
        <v>90.47</v>
      </c>
    </row>
    <row r="54">
      <c r="A54" t="inlineStr">
        <is>
          <t>2020-10</t>
        </is>
      </c>
      <c r="B54" s="4" t="n">
        <v>67.48</v>
      </c>
      <c r="C54" s="4" t="n">
        <v>72.18000000000001</v>
      </c>
      <c r="D54" s="4" t="n">
        <v>73.23</v>
      </c>
      <c r="E54" s="4" t="n">
        <v>77.78</v>
      </c>
      <c r="F54" s="4" t="n">
        <v>90.45999999999999</v>
      </c>
      <c r="G54" s="4" t="n">
        <v>95.18000000000001</v>
      </c>
    </row>
    <row r="55">
      <c r="A55" t="inlineStr">
        <is>
          <t>2020-11</t>
        </is>
      </c>
      <c r="B55" s="4" t="n">
        <v>70.28</v>
      </c>
      <c r="C55" s="4" t="n">
        <v>79.14</v>
      </c>
      <c r="D55" s="4" t="n">
        <v>77.08</v>
      </c>
      <c r="E55" s="4" t="n">
        <v>83.61</v>
      </c>
      <c r="F55" s="4" t="n">
        <v>93.54000000000001</v>
      </c>
      <c r="G55" s="4" t="n">
        <v>97.13</v>
      </c>
    </row>
    <row r="56">
      <c r="A56" t="inlineStr">
        <is>
          <t>2020-12</t>
        </is>
      </c>
      <c r="B56" s="4" t="n">
        <v>73.62</v>
      </c>
      <c r="C56" s="4" t="n">
        <v>85.18000000000001</v>
      </c>
      <c r="D56" s="4" t="n">
        <v>80.3</v>
      </c>
      <c r="E56" s="4" t="n">
        <v>89.97</v>
      </c>
      <c r="F56" s="4" t="n">
        <v>94.84</v>
      </c>
      <c r="G56" s="4" t="n">
        <v>94.7</v>
      </c>
    </row>
    <row r="57">
      <c r="A57" t="inlineStr">
        <is>
          <t>2021-01</t>
        </is>
      </c>
      <c r="B57" s="4" t="n">
        <v>77</v>
      </c>
      <c r="C57" s="4" t="n">
        <v>89.52</v>
      </c>
      <c r="D57" s="4" t="n">
        <v>82.84999999999999</v>
      </c>
      <c r="E57" s="4" t="n">
        <v>93.41</v>
      </c>
      <c r="F57" s="4" t="n">
        <v>97.68000000000001</v>
      </c>
      <c r="G57" s="4" t="n">
        <v>95.65000000000001</v>
      </c>
    </row>
    <row r="58">
      <c r="A58" t="inlineStr">
        <is>
          <t>2021-02</t>
        </is>
      </c>
      <c r="B58" s="4" t="n">
        <v>80.78</v>
      </c>
      <c r="C58" s="4" t="n">
        <v>97.29000000000001</v>
      </c>
      <c r="D58" s="4" t="n">
        <v>89.52</v>
      </c>
      <c r="E58" s="4" t="n">
        <v>102.63</v>
      </c>
      <c r="F58" s="4" t="n">
        <v>103.22</v>
      </c>
      <c r="G58" s="4" t="n">
        <v>103.82</v>
      </c>
    </row>
    <row r="59">
      <c r="A59" t="inlineStr">
        <is>
          <t>2021-03</t>
        </is>
      </c>
      <c r="B59" s="4" t="n">
        <v>90.09</v>
      </c>
      <c r="C59" s="4" t="n">
        <v>107.38</v>
      </c>
      <c r="D59" s="4" t="n">
        <v>98.40000000000001</v>
      </c>
      <c r="E59" s="4" t="n">
        <v>112.24</v>
      </c>
      <c r="F59" s="4" t="n">
        <v>110.59</v>
      </c>
      <c r="G59" s="4" t="n">
        <v>113.76</v>
      </c>
    </row>
    <row r="60">
      <c r="A60" t="inlineStr">
        <is>
          <t>2021-04</t>
        </is>
      </c>
      <c r="B60" s="4" t="n">
        <v>100.94</v>
      </c>
      <c r="C60" s="4" t="n">
        <v>119.56</v>
      </c>
      <c r="D60" s="4" t="n">
        <v>107.32</v>
      </c>
      <c r="E60" s="4" t="n">
        <v>120.42</v>
      </c>
      <c r="F60" s="4" t="n">
        <v>121.96</v>
      </c>
      <c r="G60" s="4" t="n">
        <v>126.68</v>
      </c>
    </row>
    <row r="61">
      <c r="A61" t="inlineStr">
        <is>
          <t>2021-05</t>
        </is>
      </c>
      <c r="B61" s="4" t="n">
        <v>111.4</v>
      </c>
      <c r="C61" s="4" t="n">
        <v>130.69</v>
      </c>
      <c r="D61" s="4" t="n">
        <v>114.76</v>
      </c>
      <c r="E61" s="4" t="n">
        <v>131.34</v>
      </c>
      <c r="F61" s="4" t="n">
        <v>128.69</v>
      </c>
      <c r="G61" s="4" t="n">
        <v>134.38</v>
      </c>
    </row>
    <row r="62">
      <c r="A62" t="inlineStr">
        <is>
          <t>2021-06</t>
        </is>
      </c>
      <c r="B62" s="4" t="n">
        <v>115.37</v>
      </c>
      <c r="C62" s="4" t="n">
        <v>139.02</v>
      </c>
      <c r="D62" s="4" t="n">
        <v>120.98</v>
      </c>
      <c r="E62" s="4" t="n">
        <v>137.54</v>
      </c>
      <c r="F62" s="4" t="n">
        <v>133.38</v>
      </c>
      <c r="G62" s="4" t="n">
        <v>138.27</v>
      </c>
    </row>
    <row r="63">
      <c r="A63" t="inlineStr">
        <is>
          <t>2021-07</t>
        </is>
      </c>
      <c r="B63" s="4" t="n">
        <v>119.21</v>
      </c>
      <c r="C63" s="4" t="n">
        <v>144.99</v>
      </c>
      <c r="D63" s="4" t="n">
        <v>129.86</v>
      </c>
      <c r="E63" s="4" t="n">
        <v>145.74</v>
      </c>
      <c r="F63" s="4" t="n">
        <v>137.36</v>
      </c>
      <c r="G63" s="4" t="n">
        <v>141.47</v>
      </c>
    </row>
    <row r="64">
      <c r="A64" t="inlineStr">
        <is>
          <t>2021-08</t>
        </is>
      </c>
      <c r="B64" s="4" t="n">
        <v>124.08</v>
      </c>
      <c r="C64" s="4" t="n">
        <v>150.1</v>
      </c>
      <c r="D64" s="4" t="n">
        <v>134.06</v>
      </c>
      <c r="E64" s="4" t="n">
        <v>158.23</v>
      </c>
      <c r="F64" s="4" t="n">
        <v>139.13</v>
      </c>
      <c r="G64" s="4" t="n">
        <v>144.46</v>
      </c>
    </row>
    <row r="65">
      <c r="A65" t="inlineStr">
        <is>
          <t>2021-09</t>
        </is>
      </c>
      <c r="B65" s="4" t="n">
        <v>127.64</v>
      </c>
      <c r="C65" s="4" t="n">
        <v>157.23</v>
      </c>
      <c r="D65" s="4" t="n">
        <v>142.3</v>
      </c>
      <c r="E65" s="4" t="n">
        <v>173.64</v>
      </c>
      <c r="F65" s="4" t="n">
        <v>143.12</v>
      </c>
      <c r="G65" s="4" t="n">
        <v>148.99</v>
      </c>
    </row>
    <row r="66">
      <c r="A66" t="inlineStr">
        <is>
          <t>2021-10</t>
        </is>
      </c>
      <c r="B66" s="4" t="n">
        <v>136.27</v>
      </c>
      <c r="C66" s="4" t="n">
        <v>164.92</v>
      </c>
      <c r="D66" s="4" t="n">
        <v>154.36</v>
      </c>
      <c r="E66" s="4" t="n">
        <v>186.32</v>
      </c>
      <c r="F66" s="4" t="n">
        <v>146.98</v>
      </c>
      <c r="G66" s="4" t="n">
        <v>153.42</v>
      </c>
    </row>
    <row r="67">
      <c r="A67" t="inlineStr">
        <is>
          <t>2021-11</t>
        </is>
      </c>
      <c r="B67" s="4" t="n">
        <v>138.16</v>
      </c>
      <c r="C67" s="4" t="n">
        <v>172.36</v>
      </c>
      <c r="D67" s="4" t="n">
        <v>161.08</v>
      </c>
      <c r="E67" s="4" t="n">
        <v>202.49</v>
      </c>
      <c r="F67" s="4" t="n">
        <v>152.92</v>
      </c>
      <c r="G67" s="4" t="n">
        <v>158.35</v>
      </c>
    </row>
    <row r="68">
      <c r="A68" t="inlineStr">
        <is>
          <t>2021-12</t>
        </is>
      </c>
      <c r="B68" s="4" t="n">
        <v>144.57</v>
      </c>
      <c r="C68" s="4" t="n">
        <v>176.1</v>
      </c>
      <c r="D68" s="4" t="n">
        <v>163.81</v>
      </c>
      <c r="E68" s="4" t="n">
        <v>213.86</v>
      </c>
      <c r="F68" s="4" t="n">
        <v>157.17</v>
      </c>
      <c r="G68" s="4" t="n">
        <v>159.01</v>
      </c>
    </row>
    <row r="69">
      <c r="A69" t="inlineStr">
        <is>
          <t>2022-01</t>
        </is>
      </c>
      <c r="B69" s="4" t="n">
        <v>140.12</v>
      </c>
      <c r="C69" s="4" t="n">
        <v>175.77</v>
      </c>
      <c r="D69" s="4" t="n">
        <v>159.02</v>
      </c>
      <c r="E69" s="4" t="n">
        <v>216.13</v>
      </c>
      <c r="F69" s="4" t="n">
        <v>156.5</v>
      </c>
      <c r="G69" s="4" t="n">
        <v>156.44</v>
      </c>
    </row>
    <row r="70">
      <c r="A70" t="inlineStr">
        <is>
          <t>2022-02</t>
        </is>
      </c>
      <c r="B70" s="4" t="n">
        <v>146.58</v>
      </c>
      <c r="C70" s="4" t="n">
        <v>183.6</v>
      </c>
      <c r="D70" s="4" t="n">
        <v>168.74</v>
      </c>
      <c r="E70" s="4" t="n">
        <v>229.21</v>
      </c>
      <c r="F70" s="4" t="n">
        <v>159.2</v>
      </c>
      <c r="G70" s="4" t="n">
        <v>161.62</v>
      </c>
    </row>
    <row r="71">
      <c r="A71" t="inlineStr">
        <is>
          <t>2022-03</t>
        </is>
      </c>
      <c r="B71" s="4" t="n">
        <v>150.12</v>
      </c>
      <c r="C71" s="4" t="n">
        <v>184.65</v>
      </c>
      <c r="D71" s="4" t="n">
        <v>170.58</v>
      </c>
      <c r="E71" s="4" t="n">
        <v>228.77</v>
      </c>
      <c r="F71" s="4" t="n">
        <v>160.38</v>
      </c>
      <c r="G71" s="4" t="n">
        <v>165.16</v>
      </c>
    </row>
    <row r="72">
      <c r="A72" t="inlineStr">
        <is>
          <t>2022-04</t>
        </is>
      </c>
      <c r="B72" s="4" t="n">
        <v>150</v>
      </c>
      <c r="C72" s="4" t="n">
        <v>179.7</v>
      </c>
      <c r="D72" s="4" t="n">
        <v>167.83</v>
      </c>
      <c r="E72" s="4" t="n">
        <v>224.8</v>
      </c>
      <c r="F72" s="4" t="n">
        <v>159.82</v>
      </c>
      <c r="G72" s="4" t="n">
        <v>165.52</v>
      </c>
    </row>
    <row r="73">
      <c r="A73" t="inlineStr">
        <is>
          <t>2022-05</t>
        </is>
      </c>
      <c r="B73" s="4" t="n">
        <v>153.75</v>
      </c>
      <c r="C73" s="4" t="n">
        <v>175.51</v>
      </c>
      <c r="D73" s="4" t="n">
        <v>166.65</v>
      </c>
      <c r="E73" s="4" t="n">
        <v>226.68</v>
      </c>
      <c r="F73" s="4" t="n">
        <v>160.42</v>
      </c>
      <c r="G73" s="4" t="n">
        <v>166.82</v>
      </c>
    </row>
    <row r="74">
      <c r="A74" t="inlineStr">
        <is>
          <t>2022-06</t>
        </is>
      </c>
      <c r="B74" s="4" t="n">
        <v>148.67</v>
      </c>
      <c r="C74" s="4" t="n">
        <v>166.73</v>
      </c>
      <c r="D74" s="4" t="n">
        <v>160.27</v>
      </c>
      <c r="E74" s="4" t="n">
        <v>217.9</v>
      </c>
      <c r="F74" s="4" t="n">
        <v>158.61</v>
      </c>
      <c r="G74" s="4" t="n">
        <v>164.08</v>
      </c>
    </row>
    <row r="75">
      <c r="A75" t="inlineStr">
        <is>
          <t>2022-07</t>
        </is>
      </c>
      <c r="B75" s="4" t="n">
        <v>141.65</v>
      </c>
      <c r="C75" s="4" t="n">
        <v>155.89</v>
      </c>
      <c r="D75" s="4" t="n">
        <v>150.96</v>
      </c>
      <c r="E75" s="4" t="n">
        <v>202.06</v>
      </c>
      <c r="F75" s="4" t="n">
        <v>155.67</v>
      </c>
      <c r="G75" s="4" t="n">
        <v>160.19</v>
      </c>
    </row>
    <row r="76">
      <c r="A76" t="inlineStr">
        <is>
          <t>2022-08</t>
        </is>
      </c>
      <c r="B76" s="4" t="n">
        <v>136.53</v>
      </c>
      <c r="C76" s="4" t="n">
        <v>146.22</v>
      </c>
      <c r="D76" s="4" t="n">
        <v>145.21</v>
      </c>
      <c r="E76" s="4" t="n">
        <v>187.38</v>
      </c>
      <c r="F76" s="4" t="n">
        <v>153.45</v>
      </c>
      <c r="G76" s="4" t="n">
        <v>159.19</v>
      </c>
    </row>
    <row r="77">
      <c r="A77" t="inlineStr">
        <is>
          <t>2022-09</t>
        </is>
      </c>
      <c r="B77" s="4" t="n">
        <v>133.43</v>
      </c>
      <c r="C77" s="4" t="n">
        <v>138.78</v>
      </c>
      <c r="D77" s="4" t="n">
        <v>136.56</v>
      </c>
      <c r="E77" s="4" t="n">
        <v>173.96</v>
      </c>
      <c r="F77" s="4" t="n">
        <v>150.6</v>
      </c>
      <c r="G77" s="4" t="n">
        <v>156.62</v>
      </c>
    </row>
    <row r="78">
      <c r="A78" t="inlineStr">
        <is>
          <t>2022-10</t>
        </is>
      </c>
      <c r="B78" s="4" t="n">
        <v>130.82</v>
      </c>
      <c r="C78" s="4" t="n">
        <v>131.44</v>
      </c>
      <c r="D78" s="4" t="n">
        <v>137.99</v>
      </c>
      <c r="E78" s="4" t="n">
        <v>160.73</v>
      </c>
      <c r="F78" s="4" t="n">
        <v>148.52</v>
      </c>
      <c r="G78" s="4" t="n">
        <v>154.95</v>
      </c>
    </row>
    <row r="79">
      <c r="A79" t="inlineStr">
        <is>
          <t>2022-11</t>
        </is>
      </c>
      <c r="B79" s="4" t="n">
        <v>126.51</v>
      </c>
      <c r="C79" s="4" t="n">
        <v>125.1</v>
      </c>
      <c r="D79" s="4" t="n">
        <v>128.87</v>
      </c>
      <c r="E79" s="4" t="n">
        <v>147.09</v>
      </c>
      <c r="F79" s="4" t="n">
        <v>147.74</v>
      </c>
      <c r="G79" s="4" t="n">
        <v>153</v>
      </c>
    </row>
    <row r="80">
      <c r="A80" t="inlineStr">
        <is>
          <t>2022-12</t>
        </is>
      </c>
      <c r="B80" s="4" t="n">
        <v>120.68</v>
      </c>
      <c r="C80" s="4" t="n">
        <v>118.18</v>
      </c>
      <c r="D80" s="4" t="n">
        <v>119.9</v>
      </c>
      <c r="E80" s="4" t="n">
        <v>135.28</v>
      </c>
      <c r="F80" s="4" t="n">
        <v>144.42</v>
      </c>
      <c r="G80" s="4" t="n">
        <v>146.06</v>
      </c>
    </row>
    <row r="81">
      <c r="A81" t="inlineStr">
        <is>
          <t>2023-01</t>
        </is>
      </c>
      <c r="B81" s="4" t="n">
        <v>114.99</v>
      </c>
      <c r="C81" s="4" t="n">
        <v>112.67</v>
      </c>
      <c r="D81" s="4" t="n">
        <v>112.99</v>
      </c>
      <c r="E81" s="4" t="n">
        <v>126.33</v>
      </c>
      <c r="F81" s="4" t="n">
        <v>140.58</v>
      </c>
      <c r="G81" s="4" t="n">
        <v>140.33</v>
      </c>
    </row>
    <row r="82">
      <c r="A82" t="inlineStr">
        <is>
          <t>2023-02</t>
        </is>
      </c>
      <c r="B82" s="4" t="n">
        <v>108.65</v>
      </c>
      <c r="C82" s="4" t="n">
        <v>105.67</v>
      </c>
      <c r="D82" s="4" t="n">
        <v>109.05</v>
      </c>
      <c r="E82" s="4" t="n">
        <v>114.17</v>
      </c>
      <c r="F82" s="4" t="n">
        <v>136.57</v>
      </c>
      <c r="G82" s="4" t="n">
        <v>138.59</v>
      </c>
    </row>
    <row r="83">
      <c r="A83" t="inlineStr">
        <is>
          <t>2023-03</t>
        </is>
      </c>
      <c r="B83" s="4" t="n">
        <v>105.52</v>
      </c>
      <c r="C83" s="4" t="n">
        <v>100.32</v>
      </c>
      <c r="D83" s="4" t="n">
        <v>106.49</v>
      </c>
      <c r="E83" s="4" t="n">
        <v>102.55</v>
      </c>
      <c r="F83" s="4" t="n">
        <v>134.95</v>
      </c>
      <c r="G83" s="4" t="n">
        <v>139.16</v>
      </c>
    </row>
    <row r="84">
      <c r="A84" t="inlineStr">
        <is>
          <t>2023-04</t>
        </is>
      </c>
      <c r="B84" s="4" t="n">
        <v>103.43</v>
      </c>
      <c r="C84" s="4" t="n">
        <v>99.73999999999999</v>
      </c>
      <c r="D84" s="4" t="n">
        <v>104.34</v>
      </c>
      <c r="E84" s="4" t="n">
        <v>98.18000000000001</v>
      </c>
      <c r="F84" s="4" t="n">
        <v>136.02</v>
      </c>
      <c r="G84" s="4" t="n">
        <v>140.94</v>
      </c>
    </row>
    <row r="85">
      <c r="A85" t="inlineStr">
        <is>
          <t>2023-05</t>
        </is>
      </c>
      <c r="B85" s="4" t="n">
        <v>101.76</v>
      </c>
      <c r="C85" s="4" t="n">
        <v>96.54000000000001</v>
      </c>
      <c r="D85" s="4" t="n">
        <v>101.42</v>
      </c>
      <c r="E85" s="4" t="n">
        <v>97.37</v>
      </c>
      <c r="F85" s="4" t="n">
        <v>134.69</v>
      </c>
      <c r="G85" s="4" t="n">
        <v>140.11</v>
      </c>
    </row>
    <row r="86">
      <c r="A86" t="inlineStr">
        <is>
          <t>2023-06</t>
        </is>
      </c>
      <c r="B86" s="4" t="n">
        <v>100.59</v>
      </c>
      <c r="C86" s="4" t="n">
        <v>91.78</v>
      </c>
      <c r="D86" s="4" t="n">
        <v>99.08</v>
      </c>
      <c r="E86" s="4" t="n">
        <v>86.95999999999999</v>
      </c>
      <c r="F86" s="4" t="n">
        <v>131.81</v>
      </c>
      <c r="G86" s="4" t="n">
        <v>136.23</v>
      </c>
    </row>
    <row r="87">
      <c r="A87" t="inlineStr">
        <is>
          <t>2023-07</t>
        </is>
      </c>
      <c r="B87" s="4" t="n">
        <v>100.15</v>
      </c>
      <c r="C87" s="4" t="n">
        <v>88.72</v>
      </c>
      <c r="D87" s="4" t="n">
        <v>92.66</v>
      </c>
      <c r="E87" s="4" t="n">
        <v>83.54000000000001</v>
      </c>
      <c r="F87" s="4" t="n">
        <v>129.43</v>
      </c>
      <c r="G87" s="4" t="n">
        <v>133.03</v>
      </c>
    </row>
    <row r="88">
      <c r="A88" t="inlineStr">
        <is>
          <t>2023-08</t>
        </is>
      </c>
      <c r="B88" s="4" t="n">
        <v>99.34</v>
      </c>
      <c r="C88" s="4" t="n">
        <v>88.36</v>
      </c>
      <c r="D88" s="4" t="n">
        <v>89.61</v>
      </c>
      <c r="E88" s="4" t="n">
        <v>79.41</v>
      </c>
      <c r="F88" s="4" t="n">
        <v>128.5</v>
      </c>
      <c r="G88" s="4" t="n">
        <v>133.47</v>
      </c>
    </row>
    <row r="89">
      <c r="A89" t="inlineStr">
        <is>
          <t>2023-09</t>
        </is>
      </c>
      <c r="B89" s="4" t="n">
        <v>99.2</v>
      </c>
      <c r="C89" s="4" t="n">
        <v>87.44</v>
      </c>
      <c r="D89" s="4" t="n">
        <v>88.28</v>
      </c>
      <c r="E89" s="4" t="n">
        <v>77.29000000000001</v>
      </c>
      <c r="F89" s="4" t="n">
        <v>127.04</v>
      </c>
      <c r="G89" s="4" t="n">
        <v>132.31</v>
      </c>
    </row>
    <row r="90">
      <c r="A90" t="inlineStr">
        <is>
          <t>2023-10</t>
        </is>
      </c>
      <c r="B90" s="4" t="n">
        <v>96.25</v>
      </c>
      <c r="C90" s="4" t="n">
        <v>86.23999999999999</v>
      </c>
      <c r="D90" s="4" t="n">
        <v>88.78</v>
      </c>
      <c r="E90" s="4" t="n">
        <v>75.16</v>
      </c>
      <c r="F90" s="4" t="n">
        <v>124.94</v>
      </c>
      <c r="G90" s="4" t="n">
        <v>130.61</v>
      </c>
    </row>
    <row r="91">
      <c r="A91" t="inlineStr">
        <is>
          <t>2023-11</t>
        </is>
      </c>
      <c r="B91" s="4" t="n">
        <v>94.53</v>
      </c>
      <c r="C91" s="4" t="n">
        <v>85.23999999999999</v>
      </c>
      <c r="D91" s="4" t="n">
        <v>87.41</v>
      </c>
      <c r="E91" s="4" t="n">
        <v>73</v>
      </c>
      <c r="F91" s="4" t="n">
        <v>123.26</v>
      </c>
      <c r="G91" s="4" t="n">
        <v>127.79</v>
      </c>
    </row>
    <row r="92">
      <c r="A92" t="inlineStr">
        <is>
          <t>2023-12</t>
        </is>
      </c>
      <c r="B92" s="4" t="n">
        <v>93.79000000000001</v>
      </c>
      <c r="C92" s="4" t="n">
        <v>84.23</v>
      </c>
      <c r="D92" s="4" t="n">
        <v>85.18000000000001</v>
      </c>
      <c r="E92" s="4" t="n">
        <v>72.5</v>
      </c>
      <c r="F92" s="4" t="n">
        <v>121.28</v>
      </c>
      <c r="G92" s="4" t="n">
        <v>122.4</v>
      </c>
    </row>
    <row r="93">
      <c r="A93" t="inlineStr">
        <is>
          <t>2024-01</t>
        </is>
      </c>
      <c r="B93" s="4" t="n">
        <v>93.59</v>
      </c>
      <c r="C93" s="4" t="n">
        <v>83.12</v>
      </c>
      <c r="D93" s="4" t="n">
        <v>84.78</v>
      </c>
      <c r="E93" s="4" t="n">
        <v>71.83</v>
      </c>
      <c r="F93" s="4" t="n">
        <v>119.38</v>
      </c>
      <c r="G93" s="4" t="n">
        <v>118.63</v>
      </c>
    </row>
    <row r="94">
      <c r="A94" t="inlineStr">
        <is>
          <t>2024-02</t>
        </is>
      </c>
      <c r="B94" s="4" t="n">
        <v>93.70999999999999</v>
      </c>
      <c r="C94" s="4" t="n">
        <v>81.11</v>
      </c>
      <c r="D94" s="4" t="n">
        <v>85.90000000000001</v>
      </c>
      <c r="E94" s="4" t="n">
        <v>71.14</v>
      </c>
      <c r="F94" s="4" t="n">
        <v>118.21</v>
      </c>
      <c r="G94" s="4" t="n">
        <v>119.81</v>
      </c>
    </row>
    <row r="95">
      <c r="A95" t="inlineStr">
        <is>
          <t>2024-03</t>
        </is>
      </c>
      <c r="B95" s="4" t="n">
        <v>92.89</v>
      </c>
      <c r="C95" s="4" t="n">
        <v>80.95999999999999</v>
      </c>
      <c r="D95" s="4" t="n">
        <v>84.95999999999999</v>
      </c>
      <c r="E95" s="4" t="n">
        <v>70.8</v>
      </c>
      <c r="F95" s="4" t="n">
        <v>118.58</v>
      </c>
      <c r="G95" s="4" t="n">
        <v>122.38</v>
      </c>
    </row>
    <row r="96">
      <c r="A96" t="inlineStr">
        <is>
          <t>2024-04</t>
        </is>
      </c>
      <c r="B96" s="4" t="n">
        <v>90.94</v>
      </c>
      <c r="C96" s="4" t="n">
        <v>81.2</v>
      </c>
      <c r="D96" s="4" t="n">
        <v>82.53</v>
      </c>
      <c r="E96" s="4" t="n">
        <v>70.40000000000001</v>
      </c>
      <c r="F96" s="4" t="n">
        <v>118.51</v>
      </c>
      <c r="G96" s="4" t="n">
        <v>122.91</v>
      </c>
    </row>
    <row r="97">
      <c r="A97" t="inlineStr">
        <is>
          <t>2024-05</t>
        </is>
      </c>
      <c r="B97" s="4" t="n">
        <v>90.84999999999999</v>
      </c>
      <c r="C97" s="4" t="n">
        <v>80.63</v>
      </c>
      <c r="D97" s="4" t="n">
        <v>80.86</v>
      </c>
      <c r="E97" s="4" t="n">
        <v>69.17</v>
      </c>
      <c r="F97" s="4" t="n">
        <v>115.85</v>
      </c>
      <c r="G97" s="4" t="n">
        <v>120.67</v>
      </c>
    </row>
    <row r="98">
      <c r="A98" t="inlineStr">
        <is>
          <t>2024-06</t>
        </is>
      </c>
      <c r="B98" s="4" t="n">
        <v>90.29000000000001</v>
      </c>
      <c r="C98" s="4" t="n">
        <v>79.84999999999999</v>
      </c>
      <c r="D98" s="4" t="n">
        <v>80.61</v>
      </c>
      <c r="E98" s="4" t="n">
        <v>69.91</v>
      </c>
      <c r="F98" s="4" t="n">
        <v>114.22</v>
      </c>
      <c r="G98" s="4" t="n">
        <v>118.06</v>
      </c>
    </row>
    <row r="99">
      <c r="A99" t="inlineStr">
        <is>
          <t>2024-07</t>
        </is>
      </c>
      <c r="B99" s="4" t="n">
        <v>87.56999999999999</v>
      </c>
      <c r="C99" s="4" t="n">
        <v>79.69</v>
      </c>
      <c r="D99" s="4" t="n">
        <v>79.42</v>
      </c>
      <c r="E99" s="4" t="n">
        <v>70.13</v>
      </c>
      <c r="F99" s="4" t="n">
        <v>113.66</v>
      </c>
      <c r="G99" s="4" t="n">
        <v>116.76</v>
      </c>
    </row>
    <row r="100">
      <c r="A100" t="inlineStr">
        <is>
          <t>2024-08</t>
        </is>
      </c>
      <c r="B100" s="4" t="n">
        <v>85.7</v>
      </c>
      <c r="C100" s="4" t="n">
        <v>79.31</v>
      </c>
      <c r="D100" s="4" t="n">
        <v>77.04000000000001</v>
      </c>
      <c r="E100" s="4" t="n">
        <v>68.45999999999999</v>
      </c>
      <c r="F100" s="4" t="n">
        <v>113.36</v>
      </c>
      <c r="G100" s="4" t="n">
        <v>117.88</v>
      </c>
    </row>
    <row r="101">
      <c r="A101" t="inlineStr">
        <is>
          <t>2024-09</t>
        </is>
      </c>
      <c r="B101" s="4" t="n">
        <v>85.26000000000001</v>
      </c>
      <c r="C101" s="4" t="n">
        <v>80.88</v>
      </c>
      <c r="D101" s="4" t="n">
        <v>76.97</v>
      </c>
      <c r="E101" s="4" t="n">
        <v>69.39</v>
      </c>
      <c r="F101" s="4" t="n">
        <v>112.42</v>
      </c>
      <c r="G101" s="4" t="n">
        <v>117.25</v>
      </c>
    </row>
    <row r="102">
      <c r="A102" t="inlineStr">
        <is>
          <t>2024-10</t>
        </is>
      </c>
      <c r="B102" s="4" t="n">
        <v>83.8</v>
      </c>
      <c r="C102" s="4" t="n">
        <v>78.39</v>
      </c>
      <c r="D102" s="4" t="n">
        <v>77.27</v>
      </c>
      <c r="E102" s="4" t="n">
        <v>68.65000000000001</v>
      </c>
      <c r="F102" s="4" t="n">
        <v>110.05</v>
      </c>
      <c r="G102" s="4" t="n">
        <v>115.27</v>
      </c>
    </row>
    <row r="103">
      <c r="A103" t="inlineStr">
        <is>
          <t>2024-11</t>
        </is>
      </c>
      <c r="B103" s="4" t="n">
        <v>86.31999999999999</v>
      </c>
      <c r="C103" s="4" t="n">
        <v>77.90000000000001</v>
      </c>
      <c r="D103" s="4" t="n">
        <v>74.75</v>
      </c>
      <c r="E103" s="4" t="n">
        <v>67.31999999999999</v>
      </c>
      <c r="F103" s="4" t="n">
        <v>109.49</v>
      </c>
      <c r="G103" s="4" t="n">
        <v>113.64</v>
      </c>
    </row>
    <row r="104">
      <c r="A104" t="inlineStr">
        <is>
          <t>2024-12</t>
        </is>
      </c>
      <c r="B104" s="4" t="n">
        <v>89.79000000000001</v>
      </c>
      <c r="C104" s="4" t="n">
        <v>79.23999999999999</v>
      </c>
      <c r="D104" s="4" t="n">
        <v>74.58</v>
      </c>
      <c r="E104" s="4" t="n">
        <v>67.43000000000001</v>
      </c>
      <c r="F104" s="4" t="n">
        <v>110.27</v>
      </c>
      <c r="G104" s="4" t="n">
        <v>111.1</v>
      </c>
    </row>
    <row r="105">
      <c r="A105" t="inlineStr">
        <is>
          <t>2025-01</t>
        </is>
      </c>
      <c r="B105" s="4" t="n">
        <v>85.81</v>
      </c>
      <c r="C105" s="4" t="n">
        <v>82.14</v>
      </c>
      <c r="D105" s="4" t="n">
        <v>74.84999999999999</v>
      </c>
      <c r="E105" s="4" t="n">
        <v>67.45999999999999</v>
      </c>
      <c r="F105" s="4" t="n">
        <v>110.15</v>
      </c>
      <c r="G105" s="4" t="n">
        <v>109.21</v>
      </c>
    </row>
    <row r="106">
      <c r="A106" t="inlineStr">
        <is>
          <t>2025-02</t>
        </is>
      </c>
      <c r="B106" s="4" t="n">
        <v>83.83</v>
      </c>
      <c r="C106" s="4" t="n">
        <v>79.78</v>
      </c>
      <c r="D106" s="4" t="n">
        <v>69.90000000000001</v>
      </c>
      <c r="E106" s="4" t="n">
        <v>64.86</v>
      </c>
      <c r="F106" s="4" t="n">
        <v>109.3</v>
      </c>
      <c r="G106" s="4" t="n">
        <v>110.69</v>
      </c>
    </row>
    <row r="107">
      <c r="A107" t="inlineStr">
        <is>
          <t>2025-03</t>
        </is>
      </c>
      <c r="B107" s="4" t="n">
        <v>82.02</v>
      </c>
      <c r="C107" s="4" t="n">
        <v>77.39</v>
      </c>
      <c r="D107" s="4" t="n">
        <v>67.5</v>
      </c>
      <c r="E107" s="4" t="n">
        <v>62.32</v>
      </c>
      <c r="F107" s="4" t="n">
        <v>107.76</v>
      </c>
      <c r="G107" s="4" t="n">
        <v>111.31</v>
      </c>
    </row>
    <row r="108">
      <c r="A108" t="inlineStr">
        <is>
          <t>2025-04</t>
        </is>
      </c>
      <c r="B108" s="4" t="n">
        <v>79.81999999999999</v>
      </c>
      <c r="C108" s="4" t="n">
        <v>75.69</v>
      </c>
      <c r="D108" s="4" t="n">
        <v>65.48999999999999</v>
      </c>
      <c r="E108" s="4" t="n">
        <v>63.55</v>
      </c>
      <c r="F108" s="4" t="n">
        <v>106.76</v>
      </c>
      <c r="G108" s="4" t="n">
        <v>110.79</v>
      </c>
    </row>
    <row r="109">
      <c r="A109" t="inlineStr">
        <is>
          <t>2025-05</t>
        </is>
      </c>
      <c r="B109" s="4" t="n">
        <v>77.40000000000001</v>
      </c>
      <c r="C109" s="4" t="n">
        <v>74.59</v>
      </c>
      <c r="D109" s="4" t="n">
        <v>62.87</v>
      </c>
      <c r="E109" s="4" t="n">
        <v>62.69</v>
      </c>
      <c r="F109" s="4" t="n">
        <v>105.89</v>
      </c>
      <c r="G109" s="4" t="n">
        <v>110.35</v>
      </c>
    </row>
    <row r="110">
      <c r="A110" t="inlineStr">
        <is>
          <t>2025-06</t>
        </is>
      </c>
      <c r="B110" s="4" t="n">
        <v>77.43000000000001</v>
      </c>
      <c r="C110" s="4" t="n">
        <v>74.98</v>
      </c>
      <c r="D110" s="4" t="n">
        <v>63.56</v>
      </c>
      <c r="E110" s="4" t="n">
        <v>65.38</v>
      </c>
      <c r="F110" s="4" t="n">
        <v>105.3</v>
      </c>
      <c r="G110" s="4" t="n">
        <v>108.81</v>
      </c>
    </row>
    <row r="111">
      <c r="A111" t="inlineStr">
        <is>
          <t>2025-07</t>
        </is>
      </c>
      <c r="B111" s="4" t="n">
        <v>77.13</v>
      </c>
      <c r="C111" s="4" t="n">
        <v>74.77</v>
      </c>
      <c r="D111" s="4" t="n">
        <v>65.22</v>
      </c>
      <c r="E111" s="4" t="n">
        <v>65.45999999999999</v>
      </c>
      <c r="F111" s="4" t="n">
        <v>104.31</v>
      </c>
      <c r="G111" s="4" t="n">
        <v>107.1</v>
      </c>
    </row>
    <row r="112">
      <c r="A112" t="inlineStr">
        <is>
          <t>2025-08</t>
        </is>
      </c>
      <c r="B112" s="4" t="n">
        <v>77.59999999999999</v>
      </c>
      <c r="C112" s="4" t="n">
        <v>77.31999999999999</v>
      </c>
      <c r="D112" s="4" t="n">
        <v>62.54</v>
      </c>
      <c r="E112" s="4" t="n">
        <v>66.16</v>
      </c>
      <c r="F112" s="4" t="n">
        <v>104.77</v>
      </c>
      <c r="G112" s="4" t="n">
        <v>109.04</v>
      </c>
    </row>
    <row r="113">
      <c r="A113" t="inlineStr">
        <is>
          <t>2025-09</t>
        </is>
      </c>
      <c r="B113" s="4" t="n">
        <v>77.08</v>
      </c>
      <c r="C113" s="4" t="n">
        <v>77.73</v>
      </c>
      <c r="D113" s="4" t="n">
        <v>62.98</v>
      </c>
      <c r="E113" s="4" t="n">
        <v>64.76000000000001</v>
      </c>
      <c r="F113" s="4" t="n">
        <v>102.8</v>
      </c>
      <c r="G113" s="4" t="n">
        <v>107.32</v>
      </c>
    </row>
    <row r="114">
      <c r="A114" t="inlineStr">
        <is>
          <t>2025-10</t>
        </is>
      </c>
      <c r="B114" s="4" t="n">
        <v>78.48</v>
      </c>
      <c r="C114" s="4" t="n">
        <v>77.89</v>
      </c>
      <c r="D114" s="4" t="n">
        <v>64.73</v>
      </c>
      <c r="E114" s="4" t="n">
        <v>64.94</v>
      </c>
      <c r="F114" s="4" t="n">
        <v>100.95</v>
      </c>
      <c r="G114" s="4" t="n">
        <v>105.87</v>
      </c>
    </row>
    <row r="115">
      <c r="A115" t="inlineStr">
        <is>
          <t>2025-11</t>
        </is>
      </c>
      <c r="B115" s="4" t="n">
        <v>79.84</v>
      </c>
      <c r="C115" s="4" t="n">
        <v>78.51000000000001</v>
      </c>
      <c r="D115" s="4" t="n">
        <v>65.23999999999999</v>
      </c>
      <c r="E115" s="4" t="n">
        <v>66.23999999999999</v>
      </c>
      <c r="F115" s="4" t="n">
        <v>101.34</v>
      </c>
      <c r="G115" s="4" t="n">
        <v>105.23</v>
      </c>
    </row>
    <row r="116">
      <c r="A116" t="inlineStr">
        <is>
          <t>2025-12</t>
        </is>
      </c>
      <c r="B116" s="4" t="n">
        <v>80.83</v>
      </c>
      <c r="C116" s="4" t="n">
        <v>79.61</v>
      </c>
      <c r="D116" s="4" t="n">
        <v>67.56</v>
      </c>
      <c r="E116" s="4" t="n">
        <v>66.95</v>
      </c>
      <c r="F116" s="4" t="n">
        <v>102.9</v>
      </c>
      <c r="G116" s="4" t="n">
        <v>103.6</v>
      </c>
    </row>
    <row r="117">
      <c r="A117" t="inlineStr">
        <is>
          <t>2026-01</t>
        </is>
      </c>
      <c r="B117" s="4" t="n">
        <v>82.77</v>
      </c>
      <c r="C117" s="4" t="n">
        <v>79.28</v>
      </c>
      <c r="D117" s="4" t="n">
        <v>67.20999999999999</v>
      </c>
      <c r="E117" s="4" t="n">
        <v>68.15000000000001</v>
      </c>
      <c r="F117" s="4" t="n">
        <v>103.27</v>
      </c>
      <c r="G117" s="4" t="n">
        <v>102.63</v>
      </c>
    </row>
    <row r="118">
      <c r="A118" t="inlineStr">
        <is>
          <t>2026-02</t>
        </is>
      </c>
      <c r="B118" s="4" t="n">
        <v>85.89</v>
      </c>
      <c r="C118" s="4" t="n">
        <v>76.77</v>
      </c>
      <c r="D118" s="4" t="n">
        <v>67.27</v>
      </c>
      <c r="E118" s="4" t="n">
        <v>70.29000000000001</v>
      </c>
      <c r="F118" s="4" t="n">
        <v>104.57</v>
      </c>
      <c r="G118" s="4" t="n">
        <v>106</v>
      </c>
    </row>
    <row r="119">
      <c r="A119" t="inlineStr">
        <is>
          <t>2026-03</t>
        </is>
      </c>
      <c r="B119" s="4" t="n">
        <v>86.97</v>
      </c>
      <c r="C119" s="4" t="n">
        <v>74.87</v>
      </c>
      <c r="D119" s="4" t="n">
        <v>65.14</v>
      </c>
      <c r="E119" s="4" t="n">
        <v>71.56</v>
      </c>
      <c r="F119" s="4" t="n">
        <v>103.86</v>
      </c>
      <c r="G119" s="4" t="n">
        <v>107.18</v>
      </c>
    </row>
    <row r="120">
      <c r="A120" t="inlineStr">
        <is>
          <t>2026-04</t>
        </is>
      </c>
      <c r="B120" s="4" t="n">
        <v>84.05</v>
      </c>
      <c r="C120" s="4" t="n">
        <v>74.09999999999999</v>
      </c>
      <c r="D120" s="4" t="n">
        <v>62.33</v>
      </c>
      <c r="E120" s="4" t="n">
        <v>72.83</v>
      </c>
      <c r="F120" s="4" t="n">
        <v>102.68</v>
      </c>
      <c r="G120" s="4" t="n">
        <v>106.47</v>
      </c>
    </row>
    <row r="121">
      <c r="A121" t="inlineStr">
        <is>
          <t>2026-05</t>
        </is>
      </c>
      <c r="B121" s="4" t="n">
        <v>83.54000000000001</v>
      </c>
      <c r="C121" s="4" t="n">
        <v>75.83</v>
      </c>
      <c r="D121" s="4" t="n">
        <v>62.84</v>
      </c>
      <c r="E121" s="4" t="n">
        <v>74.15000000000001</v>
      </c>
      <c r="F121" s="4" t="n">
        <v>101.94</v>
      </c>
      <c r="G121" s="4" t="n">
        <v>106.15</v>
      </c>
    </row>
    <row r="122">
      <c r="A122" t="inlineStr">
        <is>
          <t>2026-06</t>
        </is>
      </c>
      <c r="B122" s="4" t="n">
        <v>81.68000000000001</v>
      </c>
      <c r="C122" s="4" t="n">
        <v>74.06</v>
      </c>
      <c r="D122" s="4" t="n">
        <v>64.31999999999999</v>
      </c>
      <c r="E122" s="4" t="n">
        <v>73.17</v>
      </c>
      <c r="F122" s="4" t="n">
        <v>100.77</v>
      </c>
      <c r="G122" s="4" t="n">
        <v>104.15</v>
      </c>
    </row>
    <row r="123">
      <c r="A123" t="inlineStr">
        <is>
          <t>2026-07</t>
        </is>
      </c>
      <c r="B123" s="4" t="n">
        <v>81.43000000000001</v>
      </c>
      <c r="C123" s="4" t="n">
        <v>74.73</v>
      </c>
      <c r="D123" s="4" t="n">
        <v>66.72</v>
      </c>
      <c r="E123" s="4" t="n">
        <v>75.03</v>
      </c>
      <c r="F123" s="4" t="n">
        <v>101.59</v>
      </c>
      <c r="G123" s="4" t="n">
        <v>104.37</v>
      </c>
    </row>
    <row r="124">
      <c r="A124" t="inlineStr">
        <is>
          <t>2026-08</t>
        </is>
      </c>
      <c r="B124" s="4" t="n">
        <v>82.05</v>
      </c>
      <c r="C124" s="4" t="n">
        <v>76.48</v>
      </c>
      <c r="D124" s="4" t="n">
        <v>71.84</v>
      </c>
      <c r="E124" s="4" t="n">
        <v>74.40000000000001</v>
      </c>
      <c r="F124" s="4" t="n">
        <v>101.88</v>
      </c>
      <c r="G124" s="4" t="n">
        <v>105.94</v>
      </c>
    </row>
    <row r="125">
      <c r="A125" t="inlineStr">
        <is>
          <t>2026-09</t>
        </is>
      </c>
      <c r="B125" s="4" t="n">
        <v>84.19</v>
      </c>
      <c r="C125" s="4" t="n">
        <v>76.31999999999999</v>
      </c>
      <c r="D125" s="4" t="n">
        <v>70.73</v>
      </c>
      <c r="E125" s="4" t="n">
        <v>76.91</v>
      </c>
      <c r="F125" s="4" t="n">
        <v>103.15</v>
      </c>
      <c r="G125" s="4" t="n">
        <v>107.48</v>
      </c>
    </row>
    <row r="126">
      <c r="A126" t="inlineStr">
        <is>
          <t>Latest YoY % (f)</t>
        </is>
      </c>
      <c r="B126" s="8">
        <f>B125/B113-1</f>
        <v/>
      </c>
      <c r="C126" s="8">
        <f>C125/C113-1</f>
        <v/>
      </c>
      <c r="D126" s="8">
        <f>D125/D113-1</f>
        <v/>
      </c>
      <c r="E126" s="8">
        <f>E125/E113-1</f>
        <v/>
      </c>
      <c r="F126" s="8">
        <f>F125/F113-1</f>
        <v/>
      </c>
      <c r="G126" s="8">
        <f>G125/G113-1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9" t="n">
        <v>0.218</v>
      </c>
      <c r="E6" s="9" t="n">
        <v>1</v>
      </c>
      <c r="F6" s="9" t="n">
        <v>1</v>
      </c>
      <c r="G6" s="4" t="n">
        <v>0.5095</v>
      </c>
      <c r="H6" s="8">
        <f>D6*E6</f>
        <v/>
      </c>
      <c r="I6" s="8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9" t="n">
        <v>0.2209</v>
      </c>
      <c r="E7" s="9" t="n">
        <v>0.9813</v>
      </c>
      <c r="F7" s="9" t="n">
        <v>1</v>
      </c>
      <c r="G7" s="4" t="n">
        <v>0.4906</v>
      </c>
      <c r="H7" s="8">
        <f>D7*E7</f>
        <v/>
      </c>
      <c r="I7" s="8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9" t="n">
        <v>0.067</v>
      </c>
      <c r="E8" s="9" t="n">
        <v>0.8764999999999999</v>
      </c>
      <c r="F8" s="9" t="n">
        <v>1</v>
      </c>
      <c r="G8" s="4" t="n">
        <v>0.5309</v>
      </c>
      <c r="H8" s="8">
        <f>D8*E8</f>
        <v/>
      </c>
      <c r="I8" s="8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9" t="n">
        <v>0.1005</v>
      </c>
      <c r="E9" s="9" t="n">
        <v>0.5691000000000001</v>
      </c>
      <c r="F9" s="9" t="n">
        <v>1</v>
      </c>
      <c r="G9" s="4" t="n">
        <v>0.2845</v>
      </c>
      <c r="H9" s="8">
        <f>D9*E9</f>
        <v/>
      </c>
      <c r="I9" s="8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9" t="n">
        <v>0.1005</v>
      </c>
      <c r="E10" s="9" t="n">
        <v>0.08890000000000001</v>
      </c>
      <c r="F10" s="9" t="n">
        <v>1</v>
      </c>
      <c r="G10" s="4" t="n">
        <v>0.0444</v>
      </c>
      <c r="H10" s="8">
        <f>D10*E10</f>
        <v/>
      </c>
      <c r="I10" s="8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9" t="n">
        <v>0.1216</v>
      </c>
      <c r="E11" s="9" t="n">
        <v>0.5367</v>
      </c>
      <c r="F11" s="9" t="n">
        <v>0.966</v>
      </c>
      <c r="G11" s="4" t="n">
        <v>0.2683</v>
      </c>
      <c r="H11" s="8">
        <f>D11*E11</f>
        <v/>
      </c>
      <c r="I11" s="8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9" t="n">
        <v>0.07829999999999999</v>
      </c>
      <c r="E12" s="9" t="n">
        <v>1</v>
      </c>
      <c r="F12" s="9" t="n">
        <v>0.8332000000000001</v>
      </c>
      <c r="G12" s="4" t="n">
        <v>0.5</v>
      </c>
      <c r="H12" s="8">
        <f>D12*E12</f>
        <v/>
      </c>
      <c r="I12" s="8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9" t="n">
        <v>0.0524</v>
      </c>
      <c r="E13" s="9" t="n">
        <v>1</v>
      </c>
      <c r="F13" s="9" t="n">
        <v>1</v>
      </c>
      <c r="G13" s="4" t="n">
        <v>0.5473</v>
      </c>
      <c r="H13" s="8">
        <f>D13*E13</f>
        <v/>
      </c>
      <c r="I13" s="8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9" t="n">
        <v>0.0408</v>
      </c>
      <c r="E14" s="9" t="n">
        <v>0.34</v>
      </c>
      <c r="F14" s="9" t="n">
        <v>1</v>
      </c>
      <c r="G14" s="4" t="n">
        <v>0.2793</v>
      </c>
      <c r="H14" s="8">
        <f>D14*E14</f>
        <v/>
      </c>
      <c r="I14" s="8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8">
        <f>SUMIF($B$6:$B$14,A18,$H$6:$H$14)/SUM($H$6:$H$14)</f>
        <v/>
      </c>
      <c r="C18" s="8">
        <f>SUMIF($B$6:$B$14,A18,$I$6:$I$14)/SUM($I$6:$I$14)</f>
        <v/>
      </c>
    </row>
    <row r="19">
      <c r="A19" t="inlineStr">
        <is>
          <t>usage</t>
        </is>
      </c>
      <c r="B19" s="8">
        <f>SUMIF($B$6:$B$14,A19,$H$6:$H$14)/SUM($H$6:$H$14)</f>
        <v/>
      </c>
      <c r="C19" s="8">
        <f>SUMIF($B$6:$B$14,A19,$I$6:$I$14)/SUM($I$6:$I$14)</f>
        <v/>
      </c>
    </row>
    <row r="20">
      <c r="A20" t="inlineStr">
        <is>
          <t>enterprise platform</t>
        </is>
      </c>
      <c r="B20" s="8">
        <f>SUMIF($B$6:$B$14,A20,$H$6:$H$14)/SUM($H$6:$H$14)</f>
        <v/>
      </c>
      <c r="C20" s="8">
        <f>SUMIF($B$6:$B$14,A20,$I$6:$I$14)/SUM($I$6:$I$14)</f>
        <v/>
      </c>
    </row>
    <row r="21">
      <c r="A21" t="inlineStr">
        <is>
          <t>none/competitor</t>
        </is>
      </c>
      <c r="B21" s="8">
        <f>SUMIF($B$6:$B$14,A21,$H$6:$H$14)/SUM($H$6:$H$14)</f>
        <v/>
      </c>
      <c r="C21" s="8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9" t="n">
        <v>0.0494</v>
      </c>
      <c r="E25" s="9" t="n">
        <v>1</v>
      </c>
      <c r="F25" s="9" t="n">
        <v>1</v>
      </c>
      <c r="G25" s="4" t="n">
        <v>0.5095</v>
      </c>
      <c r="H25" s="8">
        <f>D25*E25</f>
        <v/>
      </c>
      <c r="I25" s="8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9" t="n">
        <v>0.05</v>
      </c>
      <c r="E26" s="9" t="n">
        <v>0.9813</v>
      </c>
      <c r="F26" s="9" t="n">
        <v>1</v>
      </c>
      <c r="G26" s="4" t="n">
        <v>0.4906</v>
      </c>
      <c r="H26" s="8">
        <f>D26*E26</f>
        <v/>
      </c>
      <c r="I26" s="8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9" t="n">
        <v>0.0152</v>
      </c>
      <c r="E27" s="9" t="n">
        <v>0.8764999999999999</v>
      </c>
      <c r="F27" s="9" t="n">
        <v>1</v>
      </c>
      <c r="G27" s="4" t="n">
        <v>0.5309</v>
      </c>
      <c r="H27" s="8">
        <f>D27*E27</f>
        <v/>
      </c>
      <c r="I27" s="8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9" t="n">
        <v>0.0228</v>
      </c>
      <c r="E28" s="9" t="n">
        <v>0.5691000000000001</v>
      </c>
      <c r="F28" s="9" t="n">
        <v>1</v>
      </c>
      <c r="G28" s="4" t="n">
        <v>0.2845</v>
      </c>
      <c r="H28" s="8">
        <f>D28*E28</f>
        <v/>
      </c>
      <c r="I28" s="8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9" t="n">
        <v>0.0228</v>
      </c>
      <c r="E29" s="9" t="n">
        <v>0.08890000000000001</v>
      </c>
      <c r="F29" s="9" t="n">
        <v>1</v>
      </c>
      <c r="G29" s="4" t="n">
        <v>0.0444</v>
      </c>
      <c r="H29" s="8">
        <f>D29*E29</f>
        <v/>
      </c>
      <c r="I29" s="8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9" t="n">
        <v>0.0275</v>
      </c>
      <c r="E30" s="9" t="n">
        <v>0.5367</v>
      </c>
      <c r="F30" s="9" t="n">
        <v>0.966</v>
      </c>
      <c r="G30" s="4" t="n">
        <v>0.2683</v>
      </c>
      <c r="H30" s="8">
        <f>D30*E30</f>
        <v/>
      </c>
      <c r="I30" s="8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9" t="n">
        <v>0.0177</v>
      </c>
      <c r="E31" s="9" t="n">
        <v>1</v>
      </c>
      <c r="F31" s="9" t="n">
        <v>0.8332000000000001</v>
      </c>
      <c r="G31" s="4" t="n">
        <v>0.5</v>
      </c>
      <c r="H31" s="8">
        <f>D31*E31</f>
        <v/>
      </c>
      <c r="I31" s="8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9" t="n">
        <v>0.0119</v>
      </c>
      <c r="E32" s="9" t="n">
        <v>1</v>
      </c>
      <c r="F32" s="9" t="n">
        <v>1</v>
      </c>
      <c r="G32" s="4" t="n">
        <v>0.5473</v>
      </c>
      <c r="H32" s="8">
        <f>D32*E32</f>
        <v/>
      </c>
      <c r="I32" s="8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9" t="n">
        <v>0.5914</v>
      </c>
      <c r="E33" s="9" t="n">
        <v>0.9273</v>
      </c>
      <c r="F33" s="9" t="n">
        <v>1</v>
      </c>
      <c r="G33" s="4" t="n">
        <v>0.5727</v>
      </c>
      <c r="H33" s="8">
        <f>D33*E33</f>
        <v/>
      </c>
      <c r="I33" s="8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9" t="n">
        <v>0.1393</v>
      </c>
      <c r="E34" s="9" t="n">
        <v>1</v>
      </c>
      <c r="F34" s="9" t="n">
        <v>1</v>
      </c>
      <c r="G34" s="4" t="n">
        <v>0.6538</v>
      </c>
      <c r="H34" s="8">
        <f>D34*E34</f>
        <v/>
      </c>
      <c r="I34" s="8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9" t="n">
        <v>0.0521</v>
      </c>
      <c r="E35" s="9" t="n">
        <v>0.6772</v>
      </c>
      <c r="F35" s="9" t="n">
        <v>0.7944</v>
      </c>
      <c r="G35" s="4" t="n">
        <v>0.4608</v>
      </c>
      <c r="H35" s="8">
        <f>D35*E35</f>
        <v/>
      </c>
      <c r="I35" s="8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8">
        <f>SUMIF($B$25:$B$35,A39,$H$25:$H$35)/SUM($H$25:$H$35)</f>
        <v/>
      </c>
      <c r="C39" s="8">
        <f>SUMIF($B$25:$B$35,A39,$I$25:$I$35)/SUM($I$25:$I$35)</f>
        <v/>
      </c>
    </row>
    <row r="40">
      <c r="A40" t="inlineStr">
        <is>
          <t>usage</t>
        </is>
      </c>
      <c r="B40" s="8">
        <f>SUMIF($B$25:$B$35,A40,$H$25:$H$35)/SUM($H$25:$H$35)</f>
        <v/>
      </c>
      <c r="C40" s="8">
        <f>SUMIF($B$25:$B$35,A40,$I$25:$I$35)/SUM($I$25:$I$35)</f>
        <v/>
      </c>
    </row>
    <row r="41">
      <c r="A41" t="inlineStr">
        <is>
          <t>enterprise platform</t>
        </is>
      </c>
      <c r="B41" s="8">
        <f>SUMIF($B$25:$B$35,A41,$H$25:$H$35)/SUM($H$25:$H$35)</f>
        <v/>
      </c>
      <c r="C41" s="8">
        <f>SUMIF($B$25:$B$35,A41,$I$25:$I$35)/SUM($I$25:$I$35)</f>
        <v/>
      </c>
    </row>
    <row r="42">
      <c r="A42" t="inlineStr">
        <is>
          <t>none/competitor</t>
        </is>
      </c>
      <c r="B42" s="8">
        <f>SUMIF($B$25:$B$35,A42,$H$25:$H$35)/SUM($H$25:$H$35)</f>
        <v/>
      </c>
      <c r="C42" s="8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selection activeCell="A1" sqref="A1"/>
    </sheetView>
  </sheetViews>
  <sheetFormatPr baseColWidth="8" defaultRowHeight="15"/>
  <cols>
    <col width="45" customWidth="1" min="1" max="1"/>
    <col width="24" customWidth="1" min="2" max="2"/>
    <col width="13" customWidth="1" min="3" max="3"/>
    <col width="17" customWidth="1" min="4" max="4"/>
    <col width="17" customWidth="1" min="5" max="5"/>
    <col width="19" customWidth="1" min="6" max="6"/>
    <col width="19" customWidth="1" min="7" max="7"/>
    <col width="22" customWidth="1" min="8" max="8"/>
    <col width="26" customWidth="1" min="9" max="9"/>
    <col width="45" customWidth="1" min="10" max="10"/>
    <col width="23" customWidth="1" min="11" max="11"/>
    <col width="22" customWidth="1" min="12" max="12"/>
    <col width="45" customWidth="1" min="13" max="13"/>
    <col width="22" customWidth="1" min="14" max="14"/>
    <col width="13" customWidth="1" min="15" max="15"/>
    <col width="15" customWidth="1" min="16" max="16"/>
    <col width="16" customWidth="1" min="17" max="17"/>
    <col width="19" customWidth="1" min="18" max="18"/>
    <col width="16" customWidth="1" min="19" max="19"/>
    <col width="45" customWidth="1" min="20" max="20"/>
    <col width="45" customWidth="1" min="21" max="21"/>
  </cols>
  <sheetData>
    <row r="1">
      <c r="A1" s="1" t="inlineStr">
        <is>
          <t>WS4: earnings-call analyst-question analysis and forward P/E (blue = counted/sourced input; black = formula)</t>
        </is>
      </c>
    </row>
    <row r="2">
      <c r="A2" s="2" t="inlineStr">
        <is>
          <t>13 of 15 calls from full transcripts (GitHub mirrors); FY25 Q2 and FY26 Q3 reconstructed from search snippets (partial coverage, LOW confidence). Topic labels hand-reviewed (72% agreement with keyword rules).</t>
        </is>
      </c>
    </row>
    <row r="3"/>
    <row r="4">
      <c r="A4" s="1" t="inlineStr">
        <is>
          <t>A. Analyst question counts by topic, fear index (formula) and forward P/E (formula)</t>
        </is>
      </c>
    </row>
    <row r="5">
      <c r="A5" s="3" t="inlineStr">
        <is>
          <t>call</t>
        </is>
      </c>
      <c r="B5" s="3" t="inlineStr">
        <is>
          <t>call_date</t>
        </is>
      </c>
      <c r="C5" s="3" t="inlineStr">
        <is>
          <t>n_questions</t>
        </is>
      </c>
      <c r="D5" s="3" t="inlineStr">
        <is>
          <t>n_ai_disruption</t>
        </is>
      </c>
      <c r="E5" s="3" t="inlineStr">
        <is>
          <t>n_seats_pricing</t>
        </is>
      </c>
      <c r="F5" s="3" t="inlineStr">
        <is>
          <t>n_ai_monetization</t>
        </is>
      </c>
      <c r="G5" s="3" t="inlineStr">
        <is>
          <t>n_dx</t>
        </is>
      </c>
      <c r="H5" s="3" t="inlineStr">
        <is>
          <t>n_margins</t>
        </is>
      </c>
      <c r="I5" s="3" t="inlineStr">
        <is>
          <t>n_leadership</t>
        </is>
      </c>
      <c r="J5" s="3" t="inlineStr">
        <is>
          <t>n_macro_other</t>
        </is>
      </c>
      <c r="K5" s="3" t="inlineStr">
        <is>
          <t>fear_index_strict (f)</t>
        </is>
      </c>
      <c r="L5" s="3" t="inlineStr">
        <is>
          <t>fear_index_broad_src</t>
        </is>
      </c>
      <c r="M5" s="3" t="inlineStr">
        <is>
          <t>coverage</t>
        </is>
      </c>
      <c r="N5" s="3" t="inlineStr">
        <is>
          <t>price_next_day_close</t>
        </is>
      </c>
      <c r="O5" s="3" t="inlineStr">
        <is>
          <t>guidance_fy</t>
        </is>
      </c>
      <c r="P5" s="3" t="inlineStr">
        <is>
          <t>guide_eps_low</t>
        </is>
      </c>
      <c r="Q5" s="3" t="inlineStr">
        <is>
          <t>guide_eps_high</t>
        </is>
      </c>
      <c r="R5" s="3" t="inlineStr">
        <is>
          <t>guide_eps_mid (f)</t>
        </is>
      </c>
      <c r="S5" s="3" t="inlineStr">
        <is>
          <t>forward_pe (f)</t>
        </is>
      </c>
      <c r="T5" s="3" t="inlineStr">
        <is>
          <t>guidance_basis</t>
        </is>
      </c>
      <c r="U5" s="3" t="inlineStr">
        <is>
          <t>guidance_url</t>
        </is>
      </c>
    </row>
    <row r="6">
      <c r="A6" t="inlineStr">
        <is>
          <t>FY23_Q1</t>
        </is>
      </c>
      <c r="B6" t="inlineStr">
        <is>
          <t>2023-03-15</t>
        </is>
      </c>
      <c r="C6" s="4" t="n">
        <v>10</v>
      </c>
      <c r="D6" s="4" t="n">
        <v>1</v>
      </c>
      <c r="E6" s="4" t="n">
        <v>2</v>
      </c>
      <c r="F6" s="4" t="n">
        <v>1</v>
      </c>
      <c r="G6" s="4" t="n">
        <v>2</v>
      </c>
      <c r="H6" s="4" t="n">
        <v>0</v>
      </c>
      <c r="I6" s="4" t="n">
        <v>0</v>
      </c>
      <c r="J6" s="4" t="n">
        <v>4</v>
      </c>
      <c r="K6" s="6">
        <f>(D6+E6)/C6</f>
        <v/>
      </c>
      <c r="L6" s="4" t="n">
        <v>0.5</v>
      </c>
      <c r="M6" t="inlineStr">
        <is>
          <t>full transcript</t>
        </is>
      </c>
      <c r="N6" s="4" t="n">
        <v>353.29</v>
      </c>
      <c r="O6" t="inlineStr">
        <is>
          <t>FY23</t>
        </is>
      </c>
      <c r="P6" s="4" t="n">
        <v>15.3</v>
      </c>
      <c r="Q6" s="4" t="n">
        <v>15.6</v>
      </c>
      <c r="R6" s="12">
        <f>AVERAGE(P6:Q6)</f>
        <v/>
      </c>
      <c r="S6" s="7">
        <f>N6/R6</f>
        <v/>
      </c>
      <c r="T6" t="inlineStr">
        <is>
          <t>transcript (CFO prepared remarks)</t>
        </is>
      </c>
      <c r="U6" t="inlineStr">
        <is>
          <t>https://www.sec.gov/Archives/edgar/data/796343/000079634323000044/adbeex991q123.htm</t>
        </is>
      </c>
    </row>
    <row r="7">
      <c r="A7" t="inlineStr">
        <is>
          <t>FY23_Q2</t>
        </is>
      </c>
      <c r="B7" t="inlineStr">
        <is>
          <t>2023-06-15</t>
        </is>
      </c>
      <c r="C7" s="4" t="n">
        <v>10</v>
      </c>
      <c r="D7" s="4" t="n">
        <v>1</v>
      </c>
      <c r="E7" s="4" t="n">
        <v>0</v>
      </c>
      <c r="F7" s="4" t="n">
        <v>4</v>
      </c>
      <c r="G7" s="4" t="n">
        <v>1</v>
      </c>
      <c r="H7" s="4" t="n">
        <v>1</v>
      </c>
      <c r="I7" s="4" t="n">
        <v>0</v>
      </c>
      <c r="J7" s="4" t="n">
        <v>3</v>
      </c>
      <c r="K7" s="6">
        <f>(D7+E7)/C7</f>
        <v/>
      </c>
      <c r="L7" s="4" t="n">
        <v>0.1</v>
      </c>
      <c r="M7" t="inlineStr">
        <is>
          <t>full transcript</t>
        </is>
      </c>
      <c r="N7" s="4" t="n">
        <v>495.18</v>
      </c>
      <c r="O7" t="inlineStr">
        <is>
          <t>FY23</t>
        </is>
      </c>
      <c r="P7" s="4" t="n">
        <v>15.65</v>
      </c>
      <c r="Q7" s="4" t="n">
        <v>15.75</v>
      </c>
      <c r="R7" s="12">
        <f>AVERAGE(P7:Q7)</f>
        <v/>
      </c>
      <c r="S7" s="7">
        <f>N7/R7</f>
        <v/>
      </c>
      <c r="T7" t="inlineStr">
        <is>
          <t>transcript (CFO prepared remarks)</t>
        </is>
      </c>
      <c r="U7" t="inlineStr">
        <is>
          <t>https://www.sec.gov/Archives/edgar/data/796343/000079634323000133/adbeex991q223.htm</t>
        </is>
      </c>
    </row>
    <row r="8">
      <c r="A8" t="inlineStr">
        <is>
          <t>FY23_Q3</t>
        </is>
      </c>
      <c r="B8" t="inlineStr">
        <is>
          <t>2023-09-14</t>
        </is>
      </c>
      <c r="C8" s="4" t="n">
        <v>11</v>
      </c>
      <c r="D8" s="4" t="n">
        <v>0</v>
      </c>
      <c r="E8" s="4" t="n">
        <v>1</v>
      </c>
      <c r="F8" s="4" t="n">
        <v>5</v>
      </c>
      <c r="G8" s="4" t="n">
        <v>1</v>
      </c>
      <c r="H8" s="4" t="n">
        <v>1</v>
      </c>
      <c r="I8" s="4" t="n">
        <v>0</v>
      </c>
      <c r="J8" s="4" t="n">
        <v>3</v>
      </c>
      <c r="K8" s="6">
        <f>(D8+E8)/C8</f>
        <v/>
      </c>
      <c r="L8" s="4" t="n">
        <v>0.091</v>
      </c>
      <c r="M8" t="inlineStr">
        <is>
          <t>full transcript</t>
        </is>
      </c>
      <c r="N8" s="4" t="n">
        <v>528.89</v>
      </c>
      <c r="O8" t="inlineStr">
        <is>
          <t>FY23</t>
        </is>
      </c>
      <c r="P8" s="4" t="n">
        <v>15.9</v>
      </c>
      <c r="Q8" s="4" t="n">
        <v>15.95</v>
      </c>
      <c r="R8" s="12">
        <f>AVERAGE(P8:Q8)</f>
        <v/>
      </c>
      <c r="S8" s="7">
        <f>N8/R8</f>
        <v/>
      </c>
      <c r="T8" t="inlineStr">
        <is>
          <t>implied: 9M actual non-GAAP EPS 11.80 (3.80+3.91+4.09) + Q4 target 4.10-4.15 from transcript</t>
        </is>
      </c>
      <c r="U8" t="inlineStr">
        <is>
          <t>https://www.sec.gov/Archives/edgar/data/796343/000079634323000198/adbeex991q323.htm</t>
        </is>
      </c>
    </row>
    <row r="9">
      <c r="A9" t="inlineStr">
        <is>
          <t>FY23_Q4</t>
        </is>
      </c>
      <c r="B9" t="inlineStr">
        <is>
          <t>2023-12-13</t>
        </is>
      </c>
      <c r="C9" s="4" t="n">
        <v>10</v>
      </c>
      <c r="D9" s="4" t="n">
        <v>1</v>
      </c>
      <c r="E9" s="4" t="n">
        <v>3</v>
      </c>
      <c r="F9" s="4" t="n">
        <v>2</v>
      </c>
      <c r="G9" s="4" t="n">
        <v>1</v>
      </c>
      <c r="H9" s="4" t="n">
        <v>0</v>
      </c>
      <c r="I9" s="4" t="n">
        <v>0</v>
      </c>
      <c r="J9" s="4" t="n">
        <v>3</v>
      </c>
      <c r="K9" s="6">
        <f>(D9+E9)/C9</f>
        <v/>
      </c>
      <c r="L9" s="4" t="n">
        <v>0.4</v>
      </c>
      <c r="M9" t="inlineStr">
        <is>
          <t>full transcript</t>
        </is>
      </c>
      <c r="N9" s="4" t="n">
        <v>584.64</v>
      </c>
      <c r="O9" t="inlineStr">
        <is>
          <t>FY24</t>
        </is>
      </c>
      <c r="P9" s="4" t="n">
        <v>17.6</v>
      </c>
      <c r="Q9" s="4" t="n">
        <v>18</v>
      </c>
      <c r="R9" s="12">
        <f>AVERAGE(P9:Q9)</f>
        <v/>
      </c>
      <c r="S9" s="7">
        <f>N9/R9</f>
        <v/>
      </c>
      <c r="T9" t="inlineStr">
        <is>
          <t>transcript (CFO prepared remarks)</t>
        </is>
      </c>
      <c r="U9" t="inlineStr">
        <is>
          <t>https://www.sec.gov/Archives/edgar/data/796343/000079634323000252/adbeex991q423.htm</t>
        </is>
      </c>
    </row>
    <row r="10">
      <c r="A10" t="inlineStr">
        <is>
          <t>FY24_Q1</t>
        </is>
      </c>
      <c r="B10" t="inlineStr">
        <is>
          <t>2024-03-14</t>
        </is>
      </c>
      <c r="C10" s="4" t="n">
        <v>10</v>
      </c>
      <c r="D10" s="4" t="n">
        <v>3</v>
      </c>
      <c r="E10" s="4" t="n">
        <v>4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1</v>
      </c>
      <c r="K10" s="6">
        <f>(D10+E10)/C10</f>
        <v/>
      </c>
      <c r="L10" s="4" t="n">
        <v>0.7</v>
      </c>
      <c r="M10" t="inlineStr">
        <is>
          <t>full transcript</t>
        </is>
      </c>
      <c r="N10" s="4" t="n">
        <v>492.46</v>
      </c>
      <c r="O10" t="inlineStr">
        <is>
          <t>FY24</t>
        </is>
      </c>
      <c r="P10" s="4" t="n">
        <v>17.6</v>
      </c>
      <c r="Q10" s="4" t="n">
        <v>18</v>
      </c>
      <c r="R10" s="12">
        <f>AVERAGE(P10:Q10)</f>
        <v/>
      </c>
      <c r="S10" s="7">
        <f>N10/R10</f>
        <v/>
      </c>
      <c r="T10" t="inlineStr">
        <is>
          <t>not updated on call (Q&amp;A: analyst asked management to affirm; prior range carried)</t>
        </is>
      </c>
      <c r="U10" t="inlineStr">
        <is>
          <t>https://www.sec.gov/Archives/edgar/data/796343/000079634324000057/adbeex991q124.htm</t>
        </is>
      </c>
    </row>
    <row r="11">
      <c r="A11" t="inlineStr">
        <is>
          <t>FY24_Q2</t>
        </is>
      </c>
      <c r="B11" t="inlineStr">
        <is>
          <t>2024-06-13</t>
        </is>
      </c>
      <c r="C11" s="4" t="n">
        <v>13</v>
      </c>
      <c r="D11" s="4" t="n">
        <v>0</v>
      </c>
      <c r="E11" s="4" t="n">
        <v>5</v>
      </c>
      <c r="F11" s="4" t="n">
        <v>4</v>
      </c>
      <c r="G11" s="4" t="n">
        <v>2</v>
      </c>
      <c r="H11" s="4" t="n">
        <v>0</v>
      </c>
      <c r="I11" s="4" t="n">
        <v>0</v>
      </c>
      <c r="J11" s="4" t="n">
        <v>2</v>
      </c>
      <c r="K11" s="6">
        <f>(D11+E11)/C11</f>
        <v/>
      </c>
      <c r="L11" s="4" t="n">
        <v>0.385</v>
      </c>
      <c r="M11" t="inlineStr">
        <is>
          <t>full transcript</t>
        </is>
      </c>
      <c r="N11" s="4" t="n">
        <v>525.3099999999999</v>
      </c>
      <c r="O11" t="inlineStr">
        <is>
          <t>FY24</t>
        </is>
      </c>
      <c r="P11" s="4" t="n">
        <v>18</v>
      </c>
      <c r="Q11" s="4" t="n">
        <v>18.2</v>
      </c>
      <c r="R11" s="12">
        <f>AVERAGE(P11:Q11)</f>
        <v/>
      </c>
      <c r="S11" s="7">
        <f>N11/R11</f>
        <v/>
      </c>
      <c r="T11" t="inlineStr">
        <is>
          <t>transcript (CFO prepared remarks)</t>
        </is>
      </c>
      <c r="U11" t="inlineStr">
        <is>
          <t>https://www.sec.gov/Archives/edgar/data/796343/000079634324000140/adbeex991q224.htm</t>
        </is>
      </c>
    </row>
    <row r="12">
      <c r="A12" t="inlineStr">
        <is>
          <t>FY24_Q3</t>
        </is>
      </c>
      <c r="B12" t="inlineStr">
        <is>
          <t>2024-09-12</t>
        </is>
      </c>
      <c r="C12" s="4" t="n">
        <v>8</v>
      </c>
      <c r="D12" s="4" t="n">
        <v>0</v>
      </c>
      <c r="E12" s="4" t="n">
        <v>2</v>
      </c>
      <c r="F12" s="4" t="n">
        <v>2</v>
      </c>
      <c r="G12" s="4" t="n">
        <v>1</v>
      </c>
      <c r="H12" s="4" t="n">
        <v>1</v>
      </c>
      <c r="I12" s="4" t="n">
        <v>0</v>
      </c>
      <c r="J12" s="4" t="n">
        <v>2</v>
      </c>
      <c r="K12" s="6">
        <f>(D12+E12)/C12</f>
        <v/>
      </c>
      <c r="L12" s="4" t="n">
        <v>0.625</v>
      </c>
      <c r="M12" t="inlineStr">
        <is>
          <t>full transcript</t>
        </is>
      </c>
      <c r="N12" s="4" t="n">
        <v>536.87</v>
      </c>
      <c r="O12" t="inlineStr">
        <is>
          <t>FY24</t>
        </is>
      </c>
      <c r="P12" s="4" t="n">
        <v>18.24</v>
      </c>
      <c r="Q12" s="4" t="n">
        <v>18.29</v>
      </c>
      <c r="R12" s="12">
        <f>AVERAGE(P12:Q12)</f>
        <v/>
      </c>
      <c r="S12" s="7">
        <f>N12/R12</f>
        <v/>
      </c>
      <c r="T12" t="inlineStr">
        <is>
          <t>implied: 9M actual 13.61 (4.48+4.48+4.65) + Q4 target 4.63-4.68 from transcript</t>
        </is>
      </c>
      <c r="U12" t="inlineStr">
        <is>
          <t>https://www.sec.gov/Archives/edgar/data/796343/000079634324000200/adbeex991q324.htm</t>
        </is>
      </c>
    </row>
    <row r="13">
      <c r="A13" t="inlineStr">
        <is>
          <t>FY24_Q4</t>
        </is>
      </c>
      <c r="B13" t="inlineStr">
        <is>
          <t>2024-12-11</t>
        </is>
      </c>
      <c r="C13" s="4" t="n">
        <v>10</v>
      </c>
      <c r="D13" s="4" t="n">
        <v>0</v>
      </c>
      <c r="E13" s="4" t="n">
        <v>4</v>
      </c>
      <c r="F13" s="4" t="n">
        <v>4</v>
      </c>
      <c r="G13" s="4" t="n">
        <v>0</v>
      </c>
      <c r="H13" s="4" t="n">
        <v>0</v>
      </c>
      <c r="I13" s="4" t="n">
        <v>0</v>
      </c>
      <c r="J13" s="4" t="n">
        <v>2</v>
      </c>
      <c r="K13" s="6">
        <f>(D13+E13)/C13</f>
        <v/>
      </c>
      <c r="L13" s="4" t="n">
        <v>0.6</v>
      </c>
      <c r="M13" t="inlineStr">
        <is>
          <t>full transcript</t>
        </is>
      </c>
      <c r="N13" s="4" t="n">
        <v>474.63</v>
      </c>
      <c r="O13" t="inlineStr">
        <is>
          <t>FY25</t>
        </is>
      </c>
      <c r="P13" s="4" t="n">
        <v>20.2</v>
      </c>
      <c r="Q13" s="4" t="n">
        <v>20.5</v>
      </c>
      <c r="R13" s="12">
        <f>AVERAGE(P13:Q13)</f>
        <v/>
      </c>
      <c r="S13" s="7">
        <f>N13/R13</f>
        <v/>
      </c>
      <c r="T13" t="inlineStr">
        <is>
          <t>transcript (CFO prepared remarks)</t>
        </is>
      </c>
      <c r="U13" t="inlineStr">
        <is>
          <t>https://www.sec.gov/Archives/edgar/data/796343/000079634324000250/adbeex991q424.htm</t>
        </is>
      </c>
    </row>
    <row r="14">
      <c r="A14" t="inlineStr">
        <is>
          <t>FY25_Q1</t>
        </is>
      </c>
      <c r="B14" t="inlineStr">
        <is>
          <t>2025-03-12</t>
        </is>
      </c>
      <c r="C14" s="4" t="n">
        <v>13</v>
      </c>
      <c r="D14" s="4" t="n">
        <v>1</v>
      </c>
      <c r="E14" s="4" t="n">
        <v>0</v>
      </c>
      <c r="F14" s="4" t="n">
        <v>5</v>
      </c>
      <c r="G14" s="4" t="n">
        <v>0</v>
      </c>
      <c r="H14" s="4" t="n">
        <v>2</v>
      </c>
      <c r="I14" s="4" t="n">
        <v>0</v>
      </c>
      <c r="J14" s="4" t="n">
        <v>5</v>
      </c>
      <c r="K14" s="6">
        <f>(D14+E14)/C14</f>
        <v/>
      </c>
      <c r="L14" s="4" t="n">
        <v>0.231</v>
      </c>
      <c r="M14" t="inlineStr">
        <is>
          <t>full transcript</t>
        </is>
      </c>
      <c r="N14" s="4" t="n">
        <v>377.84</v>
      </c>
      <c r="O14" t="inlineStr">
        <is>
          <t>FY25</t>
        </is>
      </c>
      <c r="P14" s="4" t="n">
        <v>20.2</v>
      </c>
      <c r="Q14" s="4" t="n">
        <v>20.5</v>
      </c>
      <c r="R14" s="12">
        <f>AVERAGE(P14:Q14)</f>
        <v/>
      </c>
      <c r="S14" s="7">
        <f>N14/R14</f>
        <v/>
      </c>
      <c r="T14" t="inlineStr">
        <is>
          <t>transcript: 'reaffirm our fiscal '25 targets'</t>
        </is>
      </c>
      <c r="U14" t="inlineStr">
        <is>
          <t>https://www.sec.gov/Archives/edgar/data/796343/000079634325000052/adbeex991q125.htm</t>
        </is>
      </c>
    </row>
    <row r="15">
      <c r="A15" t="inlineStr">
        <is>
          <t>FY25_Q2</t>
        </is>
      </c>
      <c r="B15" t="inlineStr">
        <is>
          <t>2025-06-12</t>
        </is>
      </c>
      <c r="C15" s="4" t="n">
        <v>2</v>
      </c>
      <c r="D15" s="4" t="n">
        <v>1</v>
      </c>
      <c r="E15" s="4" t="n">
        <v>1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6">
        <f>(D15+E15)/C15</f>
        <v/>
      </c>
      <c r="L15" s="4" t="n">
        <v>1</v>
      </c>
      <c r="M15" t="inlineStr">
        <is>
          <t>partial coverage: Alex Zukin (Wolfe), Brent Thill (Jefferies</t>
        </is>
      </c>
      <c r="N15" s="4" t="n">
        <v>391.68</v>
      </c>
      <c r="O15" t="inlineStr">
        <is>
          <t>FY25</t>
        </is>
      </c>
      <c r="P15" s="4" t="n">
        <v>20.5</v>
      </c>
      <c r="Q15" s="4" t="n">
        <v>20.7</v>
      </c>
      <c r="R15" s="12">
        <f>AVERAGE(P15:Q15)</f>
        <v/>
      </c>
      <c r="S15" s="7">
        <f>N15/R15</f>
        <v/>
      </c>
      <c r="T15" t="inlineStr">
        <is>
          <t>WebSearch snippet of Q2 FY25 press release (8-K ex99.1); transcript not available</t>
        </is>
      </c>
      <c r="U15" t="inlineStr">
        <is>
          <t>https://www.sec.gov/Archives/edgar/data/796343/000079634325000064/adbeex991q225.htm</t>
        </is>
      </c>
    </row>
    <row r="16">
      <c r="A16" t="inlineStr">
        <is>
          <t>FY25_Q3</t>
        </is>
      </c>
      <c r="B16" t="inlineStr">
        <is>
          <t>2025-09-11</t>
        </is>
      </c>
      <c r="C16" s="4" t="n">
        <v>10</v>
      </c>
      <c r="D16" s="4" t="n">
        <v>2</v>
      </c>
      <c r="E16" s="4" t="n">
        <v>3</v>
      </c>
      <c r="F16" s="4" t="n">
        <v>2</v>
      </c>
      <c r="G16" s="4" t="n">
        <v>2</v>
      </c>
      <c r="H16" s="4" t="n">
        <v>1</v>
      </c>
      <c r="I16" s="4" t="n">
        <v>0</v>
      </c>
      <c r="J16" s="4" t="n">
        <v>0</v>
      </c>
      <c r="K16" s="6">
        <f>(D16+E16)/C16</f>
        <v/>
      </c>
      <c r="L16" s="4" t="n">
        <v>0.5</v>
      </c>
      <c r="M16" t="inlineStr">
        <is>
          <t>full transcript</t>
        </is>
      </c>
      <c r="N16" s="4" t="n">
        <v>349.36</v>
      </c>
      <c r="O16" t="inlineStr">
        <is>
          <t>FY25</t>
        </is>
      </c>
      <c r="P16" s="4" t="n">
        <v>20.8</v>
      </c>
      <c r="Q16" s="4" t="n">
        <v>20.85</v>
      </c>
      <c r="R16" s="12">
        <f>AVERAGE(P16:Q16)</f>
        <v/>
      </c>
      <c r="S16" s="7">
        <f>N16/R16</f>
        <v/>
      </c>
      <c r="T16" t="inlineStr">
        <is>
          <t>transcript (CFO prepared remarks)</t>
        </is>
      </c>
      <c r="U16" t="inlineStr">
        <is>
          <t>https://www.sec.gov/Archives/edgar/data/796343/000079634325000102/adbeex991q325.htm</t>
        </is>
      </c>
    </row>
    <row r="17">
      <c r="A17" t="inlineStr">
        <is>
          <t>FY25_Q4</t>
        </is>
      </c>
      <c r="B17" t="inlineStr">
        <is>
          <t>2025-12-10</t>
        </is>
      </c>
      <c r="C17" s="4" t="n">
        <v>8</v>
      </c>
      <c r="D17" s="4" t="n">
        <v>0</v>
      </c>
      <c r="E17" s="4" t="n">
        <v>3</v>
      </c>
      <c r="F17" s="4" t="n">
        <v>3</v>
      </c>
      <c r="G17" s="4" t="n">
        <v>2</v>
      </c>
      <c r="H17" s="4" t="n">
        <v>0</v>
      </c>
      <c r="I17" s="4" t="n">
        <v>0</v>
      </c>
      <c r="J17" s="4" t="n">
        <v>0</v>
      </c>
      <c r="K17" s="6">
        <f>(D17+E17)/C17</f>
        <v/>
      </c>
      <c r="L17" s="4" t="n">
        <v>0.375</v>
      </c>
      <c r="M17" t="inlineStr">
        <is>
          <t>full transcript</t>
        </is>
      </c>
      <c r="N17" s="4" t="n">
        <v>350.43</v>
      </c>
      <c r="O17" t="inlineStr">
        <is>
          <t>FY26</t>
        </is>
      </c>
      <c r="P17" s="4" t="n">
        <v>23.3</v>
      </c>
      <c r="Q17" s="4" t="n">
        <v>23.5</v>
      </c>
      <c r="R17" s="12">
        <f>AVERAGE(P17:Q17)</f>
        <v/>
      </c>
      <c r="S17" s="7">
        <f>N17/R17</f>
        <v/>
      </c>
      <c r="T17" t="inlineStr">
        <is>
          <t>transcript (CFO prepared remarks)</t>
        </is>
      </c>
      <c r="U17" t="inlineStr">
        <is>
          <t>https://www.sec.gov/Archives/edgar/data/796343/000079634325000135/adbeex991q425.htm</t>
        </is>
      </c>
    </row>
    <row r="18">
      <c r="A18" t="inlineStr">
        <is>
          <t>FY26_Q1</t>
        </is>
      </c>
      <c r="B18" t="inlineStr">
        <is>
          <t>2026-03-12</t>
        </is>
      </c>
      <c r="C18" s="4" t="n">
        <v>10</v>
      </c>
      <c r="D18" s="4" t="n">
        <v>1</v>
      </c>
      <c r="E18" s="4" t="n">
        <v>2</v>
      </c>
      <c r="F18" s="4" t="n">
        <v>3</v>
      </c>
      <c r="G18" s="4" t="n">
        <v>0</v>
      </c>
      <c r="H18" s="4" t="n">
        <v>1</v>
      </c>
      <c r="I18" s="4" t="n">
        <v>2</v>
      </c>
      <c r="J18" s="4" t="n">
        <v>1</v>
      </c>
      <c r="K18" s="6">
        <f>(D18+E18)/C18</f>
        <v/>
      </c>
      <c r="L18" s="4" t="n">
        <v>0.4</v>
      </c>
      <c r="M18" t="inlineStr">
        <is>
          <t>full transcript</t>
        </is>
      </c>
      <c r="N18" s="4" t="n">
        <v>249.32</v>
      </c>
      <c r="O18" t="inlineStr">
        <is>
          <t>FY26</t>
        </is>
      </c>
      <c r="P18" s="4" t="n">
        <v>23.3</v>
      </c>
      <c r="Q18" s="4" t="n">
        <v>23.5</v>
      </c>
      <c r="R18" s="12">
        <f>AVERAGE(P18:Q18)</f>
        <v/>
      </c>
      <c r="S18" s="7">
        <f>N18/R18</f>
        <v/>
      </c>
      <c r="T18" t="inlineStr">
        <is>
          <t>transcript: 'we are reaffirming our FY '26 targets'</t>
        </is>
      </c>
      <c r="U18" t="inlineStr">
        <is>
          <t>https://www.sec.gov/Archives/edgar/data/796343/000079634326000048/adbeex991q126.htm</t>
        </is>
      </c>
    </row>
    <row r="19">
      <c r="A19" t="inlineStr">
        <is>
          <t>FY26_Q2</t>
        </is>
      </c>
      <c r="B19" t="inlineStr">
        <is>
          <t>2026-06-11</t>
        </is>
      </c>
      <c r="C19" s="4" t="n">
        <v>10</v>
      </c>
      <c r="D19" s="4" t="n">
        <v>3</v>
      </c>
      <c r="E19" s="4" t="n">
        <v>5</v>
      </c>
      <c r="F19" s="4" t="n">
        <v>0</v>
      </c>
      <c r="G19" s="4" t="n">
        <v>1</v>
      </c>
      <c r="H19" s="4" t="n">
        <v>0</v>
      </c>
      <c r="I19" s="4" t="n">
        <v>1</v>
      </c>
      <c r="J19" s="4" t="n">
        <v>0</v>
      </c>
      <c r="K19" s="6">
        <f>(D19+E19)/C19</f>
        <v/>
      </c>
      <c r="L19" s="4" t="n">
        <v>0.8</v>
      </c>
      <c r="M19" t="inlineStr">
        <is>
          <t>full transcript</t>
        </is>
      </c>
      <c r="N19" s="4" t="n">
        <v>204.02</v>
      </c>
      <c r="O19" t="inlineStr">
        <is>
          <t>FY26</t>
        </is>
      </c>
      <c r="P19" s="4" t="n">
        <v>24.35</v>
      </c>
      <c r="Q19" s="4" t="n">
        <v>24.45</v>
      </c>
      <c r="R19" s="12">
        <f>AVERAGE(P19:Q19)</f>
        <v/>
      </c>
      <c r="S19" s="7">
        <f>N19/R19</f>
        <v/>
      </c>
      <c r="T19" t="inlineStr">
        <is>
          <t>press-release text bundled with transcript file ('Non-GAAP: $24.35 to $24.45') + WebSearch</t>
        </is>
      </c>
      <c r="U19" t="inlineStr">
        <is>
          <t>https://www.sec.gov/Archives/edgar/data/0000796343/000079634326000109/adbeex991q226.htm</t>
        </is>
      </c>
    </row>
    <row r="20">
      <c r="A20" t="inlineStr">
        <is>
          <t>FY26_Q3</t>
        </is>
      </c>
      <c r="B20" t="inlineStr">
        <is>
          <t>2026-09-10</t>
        </is>
      </c>
      <c r="C20" s="4" t="n">
        <v>6</v>
      </c>
      <c r="D20" s="4" t="n">
        <v>1</v>
      </c>
      <c r="E20" s="4" t="n">
        <v>2</v>
      </c>
      <c r="F20" s="4" t="n">
        <v>2</v>
      </c>
      <c r="G20" s="4" t="n">
        <v>0</v>
      </c>
      <c r="H20" s="4" t="n">
        <v>0</v>
      </c>
      <c r="I20" s="4" t="n">
        <v>0</v>
      </c>
      <c r="J20" s="4" t="n">
        <v>1</v>
      </c>
      <c r="K20" s="6">
        <f>(D20+E20)/C20</f>
        <v/>
      </c>
      <c r="L20" s="4" t="n">
        <v>0.833</v>
      </c>
      <c r="M20" t="inlineStr">
        <is>
          <t xml:space="preserve">partial coverage: Michael Turrin (Wells Fargo), Saket Kalia </t>
        </is>
      </c>
      <c r="N20" s="4" t="n">
        <v>252.23</v>
      </c>
      <c r="O20" t="inlineStr">
        <is>
          <t>FY26</t>
        </is>
      </c>
      <c r="P20" s="4" t="n">
        <v>24.45</v>
      </c>
      <c r="Q20" s="4" t="n">
        <v>24.5</v>
      </c>
      <c r="R20" s="12">
        <f>AVERAGE(P20:Q20)</f>
        <v/>
      </c>
      <c r="S20" s="7">
        <f>N20/R20</f>
        <v/>
      </c>
      <c r="T20" t="inlineStr">
        <is>
          <t>WebSearch snippet of Q3 FY26 press release (8-K ex99.1); transcript not available</t>
        </is>
      </c>
      <c r="U20" t="inlineStr">
        <is>
          <t>https://www.sec.gov/Archives/edgar/data/0000796343/000079634326000147/adbeex991q326.htm</t>
        </is>
      </c>
    </row>
    <row r="21"/>
    <row r="22">
      <c r="A22" t="inlineStr">
        <is>
          <t>Correlation(fear index strict, forward P/E), all 15 calls (formula)</t>
        </is>
      </c>
      <c r="B22" s="6">
        <f>CORREL(K6:K20,S6:S20)</f>
        <v/>
      </c>
    </row>
    <row r="23">
      <c r="A23" t="inlineStr">
        <is>
          <t>Mean fear index FY23 calls (formula)</t>
        </is>
      </c>
      <c r="B23" s="6">
        <f>AVERAGE(K6:K9)</f>
        <v/>
      </c>
    </row>
    <row r="24">
      <c r="A24" t="inlineStr">
        <is>
          <t>Mean fear index FY26 calls (formula)</t>
        </is>
      </c>
      <c r="B24" s="6">
        <f>AVERAGE(K18:K20)</f>
        <v/>
      </c>
    </row>
    <row r="25">
      <c r="A25" t="inlineStr">
        <is>
          <t>Forward P/E change, first to last call (formula)</t>
        </is>
      </c>
      <c r="B25" s="8">
        <f>S20/S6-1</f>
        <v/>
      </c>
    </row>
    <row r="26"/>
    <row r="27">
      <c r="A27" s="1" t="inlineStr">
        <is>
          <t>B. Management vocabulary per 10k words: seat vs usage terms (hits in blue; rates and ratio are formulas)</t>
        </is>
      </c>
    </row>
    <row r="28">
      <c r="A28" s="3" t="inlineStr">
        <is>
          <t>call</t>
        </is>
      </c>
      <c r="B28" s="3" t="inlineStr">
        <is>
          <t>date</t>
        </is>
      </c>
      <c r="C28" s="3" t="inlineStr">
        <is>
          <t>mgmt_words</t>
        </is>
      </c>
      <c r="D28" s="3" t="inlineStr">
        <is>
          <t>seat_hits</t>
        </is>
      </c>
      <c r="E28" s="3" t="inlineStr">
        <is>
          <t>usage_hits</t>
        </is>
      </c>
      <c r="F28" s="3" t="inlineStr">
        <is>
          <t>seat_per_10k (f)</t>
        </is>
      </c>
      <c r="G28" s="3" t="inlineStr">
        <is>
          <t>usage_per_10k (f)</t>
        </is>
      </c>
      <c r="H28" s="3" t="inlineStr">
        <is>
          <t>usage_minus_seat (f)</t>
        </is>
      </c>
      <c r="I28" s="3" t="inlineStr">
        <is>
          <t>usage_to_seat_ratio (f)</t>
        </is>
      </c>
      <c r="J28" s="3" t="inlineStr">
        <is>
          <t>detail</t>
        </is>
      </c>
    </row>
    <row r="29">
      <c r="A29" t="inlineStr">
        <is>
          <t>FY23_Q1</t>
        </is>
      </c>
      <c r="B29" t="inlineStr">
        <is>
          <t>2023-03-15</t>
        </is>
      </c>
      <c r="C29" s="4" t="n">
        <v>7754</v>
      </c>
      <c r="D29" s="4" t="n">
        <v>2</v>
      </c>
      <c r="E29" s="4" t="n">
        <v>5</v>
      </c>
      <c r="F29" s="7">
        <f>D29/C29*10000</f>
        <v/>
      </c>
      <c r="G29" s="7">
        <f>E29/C29*10000</f>
        <v/>
      </c>
      <c r="H29" s="7">
        <f>G29-F29</f>
        <v/>
      </c>
      <c r="I29" s="7">
        <f>IF(D29=0,"n/a",E29/D29)</f>
        <v/>
      </c>
      <c r="J29" t="inlineStr">
        <is>
          <t>{"seat": 1, "subscribers": 1, "consumption": 1, "usage": 2, "apis?": 2}</t>
        </is>
      </c>
    </row>
    <row r="30">
      <c r="A30" t="inlineStr">
        <is>
          <t>FY23_Q2</t>
        </is>
      </c>
      <c r="B30" t="inlineStr">
        <is>
          <t>2023-06-15</t>
        </is>
      </c>
      <c r="C30" s="4" t="n">
        <v>8134</v>
      </c>
      <c r="D30" s="4" t="n">
        <v>3</v>
      </c>
      <c r="E30" s="4" t="n">
        <v>8</v>
      </c>
      <c r="F30" s="7">
        <f>D30/C30*10000</f>
        <v/>
      </c>
      <c r="G30" s="7">
        <f>E30/C30*10000</f>
        <v/>
      </c>
      <c r="H30" s="7">
        <f>G30-F30</f>
        <v/>
      </c>
      <c r="I30" s="7">
        <f>IF(D30=0,"n/a",E30/D30)</f>
        <v/>
      </c>
      <c r="J30" t="inlineStr">
        <is>
          <t>{"seat": 2, "subscribers": 1, "credit": 2, "consumption": 1, "usage": 2, "generations": 2, "apis?": 1}</t>
        </is>
      </c>
    </row>
    <row r="31">
      <c r="A31" t="inlineStr">
        <is>
          <t>FY23_Q3</t>
        </is>
      </c>
      <c r="B31" t="inlineStr">
        <is>
          <t>2023-09-14</t>
        </is>
      </c>
      <c r="C31" s="4" t="n">
        <v>8117</v>
      </c>
      <c r="D31" s="4" t="n">
        <v>1</v>
      </c>
      <c r="E31" s="4" t="n">
        <v>27</v>
      </c>
      <c r="F31" s="7">
        <f>D31/C31*10000</f>
        <v/>
      </c>
      <c r="G31" s="7">
        <f>E31/C31*10000</f>
        <v/>
      </c>
      <c r="H31" s="7">
        <f>G31-F31</f>
        <v/>
      </c>
      <c r="I31" s="7">
        <f>IF(D31=0,"n/a",E31/D31)</f>
        <v/>
      </c>
      <c r="J31" t="inlineStr">
        <is>
          <t>{"subscribers": 1, "credit": 3, "credits": 11, "consumption": 1, "usage": 5, "apis?": 7}</t>
        </is>
      </c>
    </row>
    <row r="32">
      <c r="A32" t="inlineStr">
        <is>
          <t>FY23_Q4</t>
        </is>
      </c>
      <c r="B32" t="inlineStr">
        <is>
          <t>2023-12-13</t>
        </is>
      </c>
      <c r="C32" s="4" t="n">
        <v>8304</v>
      </c>
      <c r="D32" s="4" t="n">
        <v>1</v>
      </c>
      <c r="E32" s="4" t="n">
        <v>23</v>
      </c>
      <c r="F32" s="7">
        <f>D32/C32*10000</f>
        <v/>
      </c>
      <c r="G32" s="7">
        <f>E32/C32*10000</f>
        <v/>
      </c>
      <c r="H32" s="7">
        <f>G32-F32</f>
        <v/>
      </c>
      <c r="I32" s="7">
        <f>IF(D32=0,"n/a",E32/D32)</f>
        <v/>
      </c>
      <c r="J32" t="inlineStr">
        <is>
          <t>{"subscriber": 1, "credits": 2, "consumption": 1, "usage": 15, "generations": 4, "apis?": 1}</t>
        </is>
      </c>
    </row>
    <row r="33">
      <c r="A33" t="inlineStr">
        <is>
          <t>FY24_Q1</t>
        </is>
      </c>
      <c r="B33" t="inlineStr">
        <is>
          <t>2024-03-14</t>
        </is>
      </c>
      <c r="C33" s="4" t="n">
        <v>9154</v>
      </c>
      <c r="D33" s="4" t="n">
        <v>4</v>
      </c>
      <c r="E33" s="4" t="n">
        <v>33</v>
      </c>
      <c r="F33" s="7">
        <f>D33/C33*10000</f>
        <v/>
      </c>
      <c r="G33" s="7">
        <f>E33/C33*10000</f>
        <v/>
      </c>
      <c r="H33" s="7">
        <f>G33-F33</f>
        <v/>
      </c>
      <c r="I33" s="7">
        <f>IF(D33=0,"n/a",E33/D33)</f>
        <v/>
      </c>
      <c r="J33" t="inlineStr">
        <is>
          <t>{"seats": 2, "subscribers": 2, "credit": 1, "credits": 2, "consumption": 1, "usage": 8, "generations": 1, "firefly services": 14, "apis?": 6}</t>
        </is>
      </c>
    </row>
    <row r="34">
      <c r="A34" t="inlineStr">
        <is>
          <t>FY24_Q2</t>
        </is>
      </c>
      <c r="B34" t="inlineStr">
        <is>
          <t>2024-06-13</t>
        </is>
      </c>
      <c r="C34" s="4" t="n">
        <v>8378</v>
      </c>
      <c r="D34" s="4" t="n">
        <v>1</v>
      </c>
      <c r="E34" s="4" t="n">
        <v>34</v>
      </c>
      <c r="F34" s="7">
        <f>D34/C34*10000</f>
        <v/>
      </c>
      <c r="G34" s="7">
        <f>E34/C34*10000</f>
        <v/>
      </c>
      <c r="H34" s="7">
        <f>G34-F34</f>
        <v/>
      </c>
      <c r="I34" s="7">
        <f>IF(D34=0,"n/a",E34/D34)</f>
        <v/>
      </c>
      <c r="J34" t="inlineStr">
        <is>
          <t>{"seat": 1, "credit": 1, "consumption": 1, "usage": 12, "generations": 5, "firefly services": 12, "apis?": 2, "outcomes": 1}</t>
        </is>
      </c>
    </row>
    <row r="35">
      <c r="A35" t="inlineStr">
        <is>
          <t>FY24_Q3</t>
        </is>
      </c>
      <c r="B35" t="inlineStr">
        <is>
          <t>2024-09-12</t>
        </is>
      </c>
      <c r="C35" s="4" t="n">
        <v>7705</v>
      </c>
      <c r="D35" s="4" t="n">
        <v>1</v>
      </c>
      <c r="E35" s="4" t="n">
        <v>32</v>
      </c>
      <c r="F35" s="7">
        <f>D35/C35*10000</f>
        <v/>
      </c>
      <c r="G35" s="7">
        <f>E35/C35*10000</f>
        <v/>
      </c>
      <c r="H35" s="7">
        <f>G35-F35</f>
        <v/>
      </c>
      <c r="I35" s="7">
        <f>IF(D35=0,"n/a",E35/D35)</f>
        <v/>
      </c>
      <c r="J35" t="inlineStr">
        <is>
          <t>{"subscribers": 1, "credits": 4, "consumption": 6, "usage": 7, "generations": 4, "firefly services": 6, "apis?": 5}</t>
        </is>
      </c>
    </row>
    <row r="36">
      <c r="A36" t="inlineStr">
        <is>
          <t>FY24_Q4</t>
        </is>
      </c>
      <c r="B36" t="inlineStr">
        <is>
          <t>2024-12-11</t>
        </is>
      </c>
      <c r="C36" s="4" t="n">
        <v>7938</v>
      </c>
      <c r="D36" s="4" t="n">
        <v>1</v>
      </c>
      <c r="E36" s="4" t="n">
        <v>28</v>
      </c>
      <c r="F36" s="7">
        <f>D36/C36*10000</f>
        <v/>
      </c>
      <c r="G36" s="7">
        <f>E36/C36*10000</f>
        <v/>
      </c>
      <c r="H36" s="7">
        <f>G36-F36</f>
        <v/>
      </c>
      <c r="I36" s="7">
        <f>IF(D36=0,"n/a",E36/D36)</f>
        <v/>
      </c>
      <c r="J36" t="inlineStr">
        <is>
          <t>{"subscribers": 1, "credits": 1, "consumption": 5, "usage": 3, "generations": 4, "firefly services": 13, "apis?": 2}</t>
        </is>
      </c>
    </row>
    <row r="37">
      <c r="A37" t="inlineStr">
        <is>
          <t>FY25_Q1</t>
        </is>
      </c>
      <c r="B37" t="inlineStr">
        <is>
          <t>2025-03-12</t>
        </is>
      </c>
      <c r="C37" s="4" t="n">
        <v>8490</v>
      </c>
      <c r="D37" s="4" t="n">
        <v>3</v>
      </c>
      <c r="E37" s="4" t="n">
        <v>26</v>
      </c>
      <c r="F37" s="7">
        <f>D37/C37*10000</f>
        <v/>
      </c>
      <c r="G37" s="7">
        <f>E37/C37*10000</f>
        <v/>
      </c>
      <c r="H37" s="7">
        <f>G37-F37</f>
        <v/>
      </c>
      <c r="I37" s="7">
        <f>IF(D37=0,"n/a",E37/D37)</f>
        <v/>
      </c>
      <c r="J37" t="inlineStr">
        <is>
          <t>{"seats": 2, "subscribers": 1, "credits": 1, "consumption": 4, "usage": 8, "generations": 3, "firefly services": 9, "outcomes": 1}</t>
        </is>
      </c>
    </row>
    <row r="38">
      <c r="A38" t="inlineStr">
        <is>
          <t>FY25_Q3</t>
        </is>
      </c>
      <c r="B38" t="inlineStr">
        <is>
          <t>2025-09-11</t>
        </is>
      </c>
      <c r="C38" s="4" t="n">
        <v>8168</v>
      </c>
      <c r="D38" s="4" t="n">
        <v>6</v>
      </c>
      <c r="E38" s="4" t="n">
        <v>31</v>
      </c>
      <c r="F38" s="7">
        <f>D38/C38*10000</f>
        <v/>
      </c>
      <c r="G38" s="7">
        <f>E38/C38*10000</f>
        <v/>
      </c>
      <c r="H38" s="7">
        <f>G38-F38</f>
        <v/>
      </c>
      <c r="I38" s="7">
        <f>IF(D38=0,"n/a",E38/D38)</f>
        <v/>
      </c>
      <c r="J38" t="inlineStr">
        <is>
          <t>{"seat": 5, "subscribers": 1, "consumption": 5, "usage": 10, "generations": 4, "firefly services": 11, "outcomes": 1}</t>
        </is>
      </c>
    </row>
    <row r="39">
      <c r="A39" t="inlineStr">
        <is>
          <t>FY25_Q4</t>
        </is>
      </c>
      <c r="B39" t="inlineStr">
        <is>
          <t>2025-12-10</t>
        </is>
      </c>
      <c r="C39" s="4" t="n">
        <v>7809</v>
      </c>
      <c r="D39" s="4" t="n">
        <v>2</v>
      </c>
      <c r="E39" s="4" t="n">
        <v>42</v>
      </c>
      <c r="F39" s="7">
        <f>D39/C39*10000</f>
        <v/>
      </c>
      <c r="G39" s="7">
        <f>E39/C39*10000</f>
        <v/>
      </c>
      <c r="H39" s="7">
        <f>G39-F39</f>
        <v/>
      </c>
      <c r="I39" s="7">
        <f>IF(D39=0,"n/a",E39/D39)</f>
        <v/>
      </c>
      <c r="J39" t="inlineStr">
        <is>
          <t>{"seat": 1, "subscribers": 1, "credit": 6, "credits": 12, "consumption": 5, "usage": 6, "firefly services": 10, "apis?": 2, "outcome": 1}</t>
        </is>
      </c>
    </row>
    <row r="40">
      <c r="A40" t="inlineStr">
        <is>
          <t>FY26_Q1</t>
        </is>
      </c>
      <c r="B40" t="inlineStr">
        <is>
          <t>2026-03-12</t>
        </is>
      </c>
      <c r="C40" s="4" t="n">
        <v>7638</v>
      </c>
      <c r="D40" s="4" t="n">
        <v>2</v>
      </c>
      <c r="E40" s="4" t="n">
        <v>40</v>
      </c>
      <c r="F40" s="7">
        <f>D40/C40*10000</f>
        <v/>
      </c>
      <c r="G40" s="7">
        <f>E40/C40*10000</f>
        <v/>
      </c>
      <c r="H40" s="7">
        <f>G40-F40</f>
        <v/>
      </c>
      <c r="I40" s="7">
        <f>IF(D40=0,"n/a",E40/D40)</f>
        <v/>
      </c>
      <c r="J40" t="inlineStr">
        <is>
          <t>{"license": 2, "credit": 8, "credits": 2, "consumption": 5, "usage": 12, "generations": 3, "firefly services": 4, "apis?": 2, "outcome": 2, "outcomes": 2}</t>
        </is>
      </c>
    </row>
    <row r="41">
      <c r="A41" t="inlineStr">
        <is>
          <t>FY26_Q2</t>
        </is>
      </c>
      <c r="B41" t="inlineStr">
        <is>
          <t>2026-06-11</t>
        </is>
      </c>
      <c r="C41" s="4" t="n">
        <v>4804</v>
      </c>
      <c r="D41" s="4" t="n">
        <v>1</v>
      </c>
      <c r="E41" s="4" t="n">
        <v>11</v>
      </c>
      <c r="F41" s="7">
        <f>D41/C41*10000</f>
        <v/>
      </c>
      <c r="G41" s="7">
        <f>E41/C41*10000</f>
        <v/>
      </c>
      <c r="H41" s="7">
        <f>G41-F41</f>
        <v/>
      </c>
      <c r="I41" s="7">
        <f>IF(D41=0,"n/a",E41/D41)</f>
        <v/>
      </c>
      <c r="J41" t="inlineStr">
        <is>
          <t>{"subscribers": 1, "credit": 2, "consumption": 2, "usage": 7}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8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8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8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8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8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8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8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8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8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8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8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8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8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9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8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8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8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8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9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8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9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8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8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8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8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9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9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8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8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8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8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8">
        <f>B48/SUM($B$48:$B$50)</f>
        <v/>
      </c>
      <c r="E48" s="8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8">
        <f>B49/SUM($B$48:$B$50)</f>
        <v/>
      </c>
      <c r="E49" s="8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8">
        <f>B50/SUM($B$48:$B$50)</f>
        <v/>
      </c>
      <c r="E50" s="8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8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  <col width="30" customWidth="1" min="7" max="7"/>
  </cols>
  <sheetData>
    <row r="1">
      <c r="A1" s="1" t="inlineStr">
        <is>
          <t>Triangulation matrix: rows = contentions C1-C4 + concessions; columns = source types. Cell = mark + one-line finding + source number (see research/tri/sources_numbered.md).</t>
        </is>
      </c>
    </row>
    <row r="3">
      <c r="A3" s="3" t="inlineStr">
        <is>
          <t>contention</t>
        </is>
      </c>
      <c r="B3" s="3" t="inlineStr">
        <is>
          <t>company</t>
        </is>
      </c>
      <c r="C3" s="3" t="inlineStr">
        <is>
          <t>peer</t>
        </is>
      </c>
      <c r="D3" s="3" t="inlineStr">
        <is>
          <t>industry</t>
        </is>
      </c>
      <c r="E3" s="3" t="inlineStr">
        <is>
          <t>alt</t>
        </is>
      </c>
      <c r="F3" s="3" t="inlineStr">
        <is>
          <t>primary</t>
        </is>
      </c>
      <c r="G3" s="3" t="inlineStr">
        <is>
          <t>verdict_and_falsifier</t>
        </is>
      </c>
    </row>
    <row r="4">
      <c r="A4" s="13" t="inlineStr">
        <is>
          <t>C1 Revenue sits where AI makes Adobe harder to replace</t>
        </is>
      </c>
      <c r="B4" s="13" t="inlineStr">
        <is>
          <t>✓ Individual Creative Cloud reconstructed at $5.0-7.5B = 18-27% of $27.5B ARR; Acrobat/documents 28%, Digital Experience 25%; BP&amp;C +16% vs C&amp;MP +13%; CC enterprise ARR $2.2B FY24 at 15% CAGR; CFO: teams/enterprise 'continued strength'. Caveat: net new ARR -36% Q3, RPO growth 13% -&gt; 8% [1][4][8][3]</t>
        </is>
      </c>
      <c r="C4" s="13" t="inlineStr">
        <is>
          <t>~ DocuSign DNR 103%, AI-native IAM 15% of ARR: document incumbents retain and layer AI [14]. Figma NDR 136%, &gt;$100k customers +46%; Canva ~$500M ARR from &gt;25-seat accounts: AI-native tools win business seats in adjacent categories [12][13]</t>
        </is>
      </c>
      <c r="D4" s="13" t="inlineStr">
        <is>
          <t>✓ O*NET/Lightcast 2025 postings for graphic designers require Illustrator 62%, Photoshop 61%, InDesign 49% vs Figma 11%, Canva 7%; Photoshop 112k postings vs Canva 74k nationally [21]</t>
        </is>
      </c>
      <c r="E4" s="13" t="inlineStr">
        <is>
          <t>~ Ramp: 56% of businesses pay for AI; Canva 87% / Figma 99% of their category buyers, flat YoY; no Adobe vendor data (UNAVAILABLE) [22]</t>
        </is>
      </c>
      <c r="F4" s="13" t="inlineStr">
        <is>
          <t>— Survey A Q1/Q4 and Survey B Q4 not yet run [32]</t>
        </is>
      </c>
      <c r="G4" s="13" t="inlineStr">
        <is>
          <t>SUPPORTED (confidence medium-high on mix, medium on growth). Falsifier NOT triggered: individual tier far below 50% of ARR under all sensitivities; T/E vs individual growth rests on company sources only. EPS: individual tier -10%/yr = -$0.47 to -0.71 [34]</t>
        </is>
      </c>
    </row>
    <row r="5">
      <c r="A5" s="13" t="inlineStr">
        <is>
          <t>C2 AI multiplies content demand and Adobe sells the production stack</t>
        </is>
      </c>
      <c r="B5" s="13" t="inlineStr">
        <is>
          <t>✓ AI-first ARR &gt;$650M +150%; CXO AI-first 4x; GenStudio &gt;$1B ARR; Firefly Enterprise new customers +50%; video generative actions &gt;8x; Firefly Enterprise generated assets &gt;4x YoY (Q2 FY26 script, re-attributed). Soft spots: GenStudio/AEP growth floors stepped 30 -&gt; 25 -&gt; 20% over FY26; Digital Experience no longer reported (single segment) [1][5][6][7][9]</t>
        </is>
      </c>
      <c r="C5" s="13" t="inlineStr">
        <is>
          <t>✓ Meta advertisers using gen-AI creative tools &gt;1M (Jul-24) -&gt; &gt;4M -&gt; &gt;8M (Apr-26), &gt;9M small businesses; Advantage+ $20B -&gt; $75B run-rate; Google &gt;2M advertisers on AI asset generation +50%, ~70M assets in Q4-25, &gt;30% of Search customers on AI Max/PMax [15][16]</t>
        </is>
      </c>
      <c r="D5" s="13" t="inlineStr">
        <is>
          <t>~ WPP: '2.5x increase in asset output without increasing headcount' (Google-hosted, WPP internal data); WPP's own release says '2.5x acceleration in asset utilisation'; WPP Production LFL +1.3% H1 2026; Publicis production 'fueled' Q4 2025 but Intelligent Creativity low-single-digit in Q1 and Q2 2026 (PDFs verified): content volume up, agency revenue capture flat [17][18]</t>
        </is>
      </c>
      <c r="E5" s="13" t="inlineStr">
        <is>
          <t>✓ Digital Media revenue per US creative worker index 241 (CAGR 15.8%) while creative employment -5% [19][31]. Motion Creative Benchmarks 2026 (578,750 Meta creatives): enterprise accounts launch 18.85 new creatives/week vs 2.80 for micro accounts [39]. Meta Ad Library counts NOT COLLECTED (manual protocol)</t>
        </is>
      </c>
      <c r="F5" s="13" t="inlineStr">
        <is>
          <t>— Survey A Q2 (assets per campaign) not yet run [32]</t>
        </is>
      </c>
      <c r="G5" s="13" t="inlineStr">
        <is>
          <t>SUPPORTED on volume; Adobe's capture of it rests on company floors. Falsifier NOT triggered (DX never below 11% while reported) but the series is discontinued and growth floors are falling. EPS: content-stack ARR +8/12/16% on $5.41B = +$0.41/0.61/0.82 [34]</t>
        </is>
      </c>
    </row>
    <row r="6">
      <c r="A6" s="13" t="inlineStr">
        <is>
          <t>C3 Adobe can afford AI at scale and charge for it</t>
        </is>
      </c>
      <c r="B6" s="13" t="inlineStr">
        <is>
          <t>~ Subscription GM 91.3% -&gt; 90.4% (-0.8 pt YoY) as hosting incl. AI inferencing drove +22 pts of cost growth; non-GAAP op margin 44.0% (-2.3 pt) but FY26 guide ~45% held; 9M FCF $7.47B, capex 0.9% of revenue; CFO watches cost per inference 'maniacally' [1][2][7]</t>
        </is>
      </c>
      <c r="C6" s="13" t="inlineStr">
        <is>
          <t>✓ Figma GAAP GM 91.5% -&gt; 79-84%, +$27M AI hosting, FCF margin 27% -&gt; 14%, unmonetized beta inference; Canva 2026 growth guide 30% -&gt; 20% on AI serving cost, some features cost ~6x price, valuation marked -17% [12][13]</t>
        </is>
      </c>
      <c r="D6" s="13" t="inlineStr">
        <is>
          <t>~ Adobe partner-model images cost 5-80 credits (GPT Image 2 ~20 =&gt; ~$0.10 on Firefly Standard; range ~$0.03-0.40) vs Midjourney $0.03-0.05 and API list $0.03-0.07; native Firefly images unlimited on paid plans (marginal $0; Image 5 = 10 credits elsewhere); flagship API prices flat ~$0.03-0.04 since 2023 [11][28]</t>
        </is>
      </c>
      <c r="E6" s="13" t="inlineStr">
        <is>
          <t>— none collected</t>
        </is>
      </c>
      <c r="F6" s="13" t="inlineStr">
        <is>
          <t>✓ Verified legal terms: Adobe PSLT indemnity (2024v1) extended to partner-model outputs on narrower terms (2026v1); OpenAI Services Agreement IP indemnity for API/Enterprise with 12-month cap excluding indemnities; Canva Shield only for Enterprise 100+ seats, cap max(3x fees, $3M); Midjourney ToS: user indemnifies Midjourney; Deloitte: 35% cite IP concerns; McKinsey: 47% report an AI-related negative consequence [29][30]. Survey A Q3/Q5 not yet run [32]</t>
        </is>
      </c>
      <c r="G6" s="13" t="inlineStr">
        <is>
          <t>SUPPORTED (confidence medium-high company, medium peers). Falsifier PARTIALLY triggered: margins slipping ~1 pt as usage scales, from a 91% base. EPS: -1 pt subscription GM = -$0.54; observed -0.8 pt = -$0.44 vs +$0.38 from +$400M AI-first ARR [34]</t>
        </is>
      </c>
    </row>
    <row r="7">
      <c r="A7" s="13" t="inlineStr">
        <is>
          <t>C4 Users are coming to Adobe not leaving</t>
        </is>
      </c>
      <c r="B7" s="13" t="inlineStr">
        <is>
          <t>✓ MAU &gt;1B (+20%); Acrobat+Express MAU &gt;700M -&gt; &gt;900M; creative freemium MAU &gt;50M -&gt; &gt;100M (+70%); AI-first ARR &gt;$650M; all lower bounds [1][4][5]</t>
        </is>
      </c>
      <c r="C7" s="13" t="inlineStr">
        <is>
          <t>~ Canva $4B ARR but 2026 growth guide cut to 20%; Figma +48% [12][13]</t>
        </is>
      </c>
      <c r="D7" s="13" t="inlineStr">
        <is>
          <t>✗ Documented churn drivers: 12-25% list-price rises effective 6/1/26; $150M DOJ/FTC cancellation-fee settlement; UK CMA probe (VERIFY) [27]</t>
        </is>
      </c>
      <c r="E7" s="13" t="inlineStr">
        <is>
          <t>~ Against: Google Trends churn-intent ratio (US, 2019 = 1.00) 1.68 (2024) -&gt; 1.89 (2025) -&gt; 4.06 (2026 YTD), 8 of 9 months of 2026 above the 2025 maximum, worldwide 2.66 -&gt; 7.42; Firefly share of AI-tool search flat ~0.20; 'chatgpt image'/'photoshop' 0.13 -&gt; 0.21 [26]. For: Similarweb published Aug 2026 visits adobe.com 433.9M +41.5% YoY vs canva.com 863.7M +7.9% (US +33.4% vs +25.5%) [37]; AppTweak CY2025 downloads Adobe Express 24.7M +70.7% vs Canva 79.2M +0.3% [38]</t>
        </is>
      </c>
      <c r="F7" s="13" t="inlineStr">
        <is>
          <t>— Survey B Q1/Q3/Q5 not yet run; Similarweb and Google Play manual protocols written [32]</t>
        </is>
      </c>
      <c r="G7" s="13" t="inlineStr">
        <is>
          <t>MIXED: gross acquisition SUPPORTED, 'not leaving' WEAKENED. Falsifier leg 1 (churn-intent at new highs) TRIGGERED; leg 2 (MAU not converting) not triggered. EPS (descriptive): $8 AI-first ARR per incremental freemium MAU; +50M MAU = +$0.38 [34]</t>
        </is>
      </c>
    </row>
    <row r="8">
      <c r="A8" s="13" t="inlineStr">
        <is>
          <t>Concessions (seat compression; Adobe Stock; individual subscribers; net new ARR)</t>
        </is>
      </c>
      <c r="B8" s="13" t="inlineStr">
        <is>
          <t>✗ FY26 organic net new ARR $2.14B vs FY25 $2.63B (-19%), Q3 -39%; H2 individual ARR lowered by deferred price actions and freemium routing ('maybe half' each); Adobe Stock ~$450M declining faster than expected [3][4][5][6]</t>
        </is>
      </c>
      <c r="C8" s="13" t="inlineStr">
        <is>
          <t>✗ Fiverr revenue -10%, FY26 guide -14% to -17% on AI-exposed categories; Upwork GSV -4% (AI-related +22%); Shutterstock content revenue -17%, subscribers -11%; Getty annual subscribers -25% [23][24][25]</t>
        </is>
      </c>
      <c r="D8" s="13" t="inlineStr">
        <is>
          <t>✗ BLS: graphic designers -7.7%, five creative occupations -4.9% (May-24 to May-25); OOH 2025-35 -2% citing AI design tools [19]</t>
        </is>
      </c>
      <c r="E8" s="13" t="inlineStr">
        <is>
          <t>~ Indeed creative postings 71-84 vs total 103 (Feb-20 = 100) but +4.9% YoY; WS1 implied C&amp;MP volume/mix growth 9.3% -&gt; 6.1% [20][31]</t>
        </is>
      </c>
      <c r="F8" s="13" t="inlineStr">
        <is>
          <t>— Survey A Q1/Q6, Survey B Q1/Q5 not yet run [32]</t>
        </is>
      </c>
      <c r="G8" s="13" t="inlineStr">
        <is>
          <t>Bounded, not fully offset. Base: 3% T/E seats + 10% Stock + 3% individual = -$510M ARR = -$0.48 EPS (1.8% of FY27); bear -$865M = -$0.82 (3.0%); AI-first adds (~$400M/yr) cover any one concession but only 0.8x/0.5x of all three. Press-quoted consensus FY27 EPS $27.62-27.67, mean target $276, 11 Buy/23 Hold/5 Sell, Morgan Stanley Underweight $240 [33]. FALSIFIER to watch: Q4 FY26 net new ARR below the ~$0.78B implied by the 10.2% target [34]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4" customWidth="1" min="3" max="3"/>
    <col width="60" customWidth="1" min="4" max="4"/>
    <col width="16" customWidth="1" min="5" max="5"/>
    <col width="20" customWidth="1" min="6" max="6"/>
    <col width="32" customWidth="1" min="7" max="7"/>
    <col width="51" customWidth="1" min="8" max="8"/>
    <col width="60" customWidth="1" min="9" max="9"/>
  </cols>
  <sheetData>
    <row r="1">
      <c r="A1" s="1" t="inlineStr">
        <is>
          <t>ARR -&gt; EPS bridge (blue = input assumption; black = formula). Each contention's EPS translation references the constant in B8.</t>
        </is>
      </c>
    </row>
    <row r="2">
      <c r="A2" s="2" t="inlineStr">
        <is>
          <t>Constant: EPS per $100M ARR = 100 x incremental operating margin x (1 - non-GAAP tax rate) / diluted shares. Inputs sourced in Inputs tab / Sources tab.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note</t>
        </is>
      </c>
    </row>
    <row r="5">
      <c r="A5" t="inlineStr">
        <is>
          <t>Incremental ARR block (USD M)</t>
        </is>
      </c>
      <c r="B5" s="4" t="n">
        <v>100</v>
      </c>
      <c r="C5" t="inlineStr">
        <is>
          <t>USD M</t>
        </is>
      </c>
      <c r="D5" t="inlineStr">
        <is>
          <t>convention</t>
        </is>
      </c>
    </row>
    <row r="6">
      <c r="A6" t="inlineStr">
        <is>
          <t>Incremental non-GAAP operating margin on new ARR</t>
        </is>
      </c>
      <c r="B6" s="4" t="n">
        <v>0.45</v>
      </c>
      <c r="C6" t="inlineStr">
        <is>
          <t>ratio</t>
        </is>
      </c>
      <c r="D6" t="inlineStr">
        <is>
          <t>Adobe FY26 target non-GAAP operating margin ~45.0% (Q3 FY26 8-K Ex.99.1, verified 2026-10-02); incremental assumed at run-rate margin; see 35% low case</t>
        </is>
      </c>
    </row>
    <row r="7">
      <c r="A7" t="inlineStr">
        <is>
          <t>Non-GAAP tax rate</t>
        </is>
      </c>
      <c r="B7" s="4" t="n">
        <v>0.18</v>
      </c>
      <c r="C7" t="inlineStr">
        <is>
          <t>ratio</t>
        </is>
      </c>
      <c r="D7" t="inlineStr">
        <is>
          <t>Adobe FY26 target non-GAAP tax rate ~18.0% (Q3 FY26 8-K Ex.99.1, verified 2026-10-02)</t>
        </is>
      </c>
    </row>
    <row r="8">
      <c r="A8" t="inlineStr">
        <is>
          <t>Diluted shares (M)</t>
        </is>
      </c>
      <c r="B8" s="4" t="n">
        <v>389</v>
      </c>
      <c r="C8" t="inlineStr">
        <is>
          <t>M</t>
        </is>
      </c>
      <c r="D8" t="inlineStr">
        <is>
          <t>Q4 FY26 target diluted share count ~389M (Q3 FY26 8-K Ex.99.1, verified 2026-10-02); FY26 full-year ~400M</t>
        </is>
      </c>
    </row>
    <row r="9">
      <c r="A9" t="inlineStr">
        <is>
          <t>Low-case incremental margin</t>
        </is>
      </c>
      <c r="B9" s="4" t="n">
        <v>0.35</v>
      </c>
      <c r="C9" t="inlineStr">
        <is>
          <t>ratio</t>
        </is>
      </c>
      <c r="D9" t="inlineStr">
        <is>
          <t>sensitivity</t>
        </is>
      </c>
    </row>
    <row r="10">
      <c r="A10" s="1" t="inlineStr">
        <is>
          <t>EPS per $100M ARR (base)</t>
        </is>
      </c>
      <c r="B10" s="12">
        <f>B5*B6*(1-B7)/B8</f>
        <v/>
      </c>
    </row>
    <row r="11">
      <c r="A11" s="1" t="inlineStr">
        <is>
          <t>EPS per $100M ARR (low-case margin)</t>
        </is>
      </c>
      <c r="B11" s="12">
        <f>B5*B9*(1-B7)/B8</f>
        <v/>
      </c>
    </row>
    <row r="12"/>
    <row r="13">
      <c r="A13" s="1" t="inlineStr">
        <is>
          <t>Contention / concession EPS translations (ARR inputs in blue from research/tri/eps_translations.csv; EPS = ARR/100 x constant)</t>
        </is>
      </c>
    </row>
    <row r="14">
      <c r="A14" s="3" t="inlineStr">
        <is>
          <t>id</t>
        </is>
      </c>
      <c r="B14" s="3" t="inlineStr">
        <is>
          <t>item</t>
        </is>
      </c>
      <c r="C14" s="3" t="inlineStr">
        <is>
          <t>scenario</t>
        </is>
      </c>
      <c r="D14" s="3" t="inlineStr">
        <is>
          <t>arr_delta_musd</t>
        </is>
      </c>
      <c r="E14" s="3" t="inlineStr">
        <is>
          <t>eps_base (f)</t>
        </is>
      </c>
      <c r="F14" s="3" t="inlineStr">
        <is>
          <t>eps_low_margin (f)</t>
        </is>
      </c>
      <c r="G14" s="3" t="inlineStr">
        <is>
          <t>as_%_of_FY27_consensus_EPS (f)</t>
        </is>
      </c>
      <c r="H14" s="3" t="inlineStr">
        <is>
          <t>source_ref</t>
        </is>
      </c>
      <c r="I14" s="3" t="inlineStr">
        <is>
          <t>note</t>
        </is>
      </c>
    </row>
    <row r="15">
      <c r="A15" t="inlineStr">
        <is>
          <t>FY27 consensus EPS (FactSet via prior research; VERIFY)</t>
        </is>
      </c>
      <c r="D15" s="4" t="n">
        <v>27.5</v>
      </c>
    </row>
    <row r="16">
      <c r="A16" t="inlineStr">
        <is>
          <t>C1-a</t>
        </is>
      </c>
      <c r="B16" t="inlineStr">
        <is>
          <t>Individual Creative Cloud tier (base $6.25B = 23% of ARR) shrinks</t>
        </is>
      </c>
      <c r="C16" t="inlineStr">
        <is>
          <t>-5%/yr</t>
        </is>
      </c>
      <c r="D16" s="4" t="n">
        <v>-313</v>
      </c>
      <c r="E16" s="6">
        <f>D16/100*$B$10</f>
        <v/>
      </c>
      <c r="F16" s="6">
        <f>D16/100*$B$11</f>
        <v/>
      </c>
      <c r="G16" s="8">
        <f>E16/$D$15</f>
        <v/>
      </c>
      <c r="H16" t="inlineStr">
        <is>
          <t>c1_mix/data/eps_at_risk.csv</t>
        </is>
      </c>
      <c r="I16" t="inlineStr">
        <is>
          <t>base case individual = 50% of Creative ARR; Adobe does not disclose the split</t>
        </is>
      </c>
    </row>
    <row r="17">
      <c r="A17" t="inlineStr">
        <is>
          <t>C1-b</t>
        </is>
      </c>
      <c r="B17" t="inlineStr">
        <is>
          <t>Individual Creative Cloud tier shrinks</t>
        </is>
      </c>
      <c r="C17" t="inlineStr">
        <is>
          <t>-10%/yr</t>
        </is>
      </c>
      <c r="D17" s="4" t="n">
        <v>-625</v>
      </c>
      <c r="E17" s="6">
        <f>D17/100*$B$10</f>
        <v/>
      </c>
      <c r="F17" s="6">
        <f>D17/100*$B$11</f>
        <v/>
      </c>
      <c r="G17" s="8">
        <f>E17/$D$15</f>
        <v/>
      </c>
      <c r="H17" t="inlineStr">
        <is>
          <t>c1_mix/data/eps_at_risk.csv</t>
        </is>
      </c>
      <c r="I17" t="n">
        <v/>
      </c>
    </row>
    <row r="18">
      <c r="A18" t="inlineStr">
        <is>
          <t>C1-c</t>
        </is>
      </c>
      <c r="B18" t="inlineStr">
        <is>
          <t>Individual Creative Cloud tier shrinks</t>
        </is>
      </c>
      <c r="C18" t="inlineStr">
        <is>
          <t>-20%/yr</t>
        </is>
      </c>
      <c r="D18" s="4" t="n">
        <v>-1250</v>
      </c>
      <c r="E18" s="6">
        <f>D18/100*$B$10</f>
        <v/>
      </c>
      <c r="F18" s="6">
        <f>D18/100*$B$11</f>
        <v/>
      </c>
      <c r="G18" s="8">
        <f>E18/$D$15</f>
        <v/>
      </c>
      <c r="H18" t="inlineStr">
        <is>
          <t>c1_mix/data/eps_at_risk.csv</t>
        </is>
      </c>
      <c r="I18" t="n">
        <v/>
      </c>
    </row>
    <row r="19">
      <c r="A19" t="inlineStr">
        <is>
          <t>C1-d</t>
        </is>
      </c>
      <c r="B19" t="inlineStr">
        <is>
          <t>Individual tier at 60% of Creative ARR ($7.5B) shrinks</t>
        </is>
      </c>
      <c r="C19" t="inlineStr">
        <is>
          <t>-10%/yr</t>
        </is>
      </c>
      <c r="D19" s="4" t="n">
        <v>-750</v>
      </c>
      <c r="E19" s="6">
        <f>D19/100*$B$10</f>
        <v/>
      </c>
      <c r="F19" s="6">
        <f>D19/100*$B$11</f>
        <v/>
      </c>
      <c r="G19" s="8">
        <f>E19/$D$15</f>
        <v/>
      </c>
      <c r="H19" t="inlineStr">
        <is>
          <t>c1_mix/data/eps_at_risk.csv</t>
        </is>
      </c>
      <c r="I19" t="inlineStr">
        <is>
          <t>high-exposure sensitivity</t>
        </is>
      </c>
    </row>
    <row r="20">
      <c r="A20" t="inlineStr">
        <is>
          <t>C3-a</t>
        </is>
      </c>
      <c r="B20" t="inlineStr">
        <is>
          <t>Subscription gross margin -1pt on ~$25.8B FY26 subscription revenue (ARR-equivalent at 45% margin)</t>
        </is>
      </c>
      <c r="C20" t="inlineStr">
        <is>
          <t>-1pt GM</t>
        </is>
      </c>
      <c r="D20" s="4" t="n">
        <v>-573</v>
      </c>
      <c r="E20" s="6">
        <f>D20/100*$B$10</f>
        <v/>
      </c>
      <c r="F20" s="6">
        <f>D20/100*$B$11</f>
        <v/>
      </c>
      <c r="G20" s="8">
        <f>E20/$D$15</f>
        <v/>
      </c>
      <c r="H20" t="inlineStr">
        <is>
          <t>c3_economics/data/eps_ai_cost_sensitivity.csv</t>
        </is>
      </c>
      <c r="I20" t="inlineStr">
        <is>
          <t>-$258M operating income = -$0.54 EPS; entered as ARR-equivalent (-258/0.45) so the bridge constant applies</t>
        </is>
      </c>
    </row>
    <row r="21">
      <c r="A21" t="inlineStr">
        <is>
          <t>C3-b</t>
        </is>
      </c>
      <c r="B21" t="inlineStr">
        <is>
          <t>Observed Q3 FY26 subscription GM -0.81pt YoY annualised</t>
        </is>
      </c>
      <c r="C21" t="inlineStr">
        <is>
          <t>observed</t>
        </is>
      </c>
      <c r="D21" s="4" t="n">
        <v>-464</v>
      </c>
      <c r="E21" s="6">
        <f>D21/100*$B$10</f>
        <v/>
      </c>
      <c r="F21" s="6">
        <f>D21/100*$B$11</f>
        <v/>
      </c>
      <c r="G21" s="8">
        <f>E21/$D$15</f>
        <v/>
      </c>
      <c r="H21" t="inlineStr">
        <is>
          <t>c3_economics/data/eps_ai_cost_sensitivity.csv</t>
        </is>
      </c>
      <c r="I21" t="inlineStr">
        <is>
          <t>-$209M operating income = -$0.44 EPS</t>
        </is>
      </c>
    </row>
    <row r="22">
      <c r="A22" t="inlineStr">
        <is>
          <t>C3-c</t>
        </is>
      </c>
      <c r="B22" t="inlineStr">
        <is>
          <t>AI-first ARR net adds (Q3 FY25 &gt;$250M to Q3 FY26 &gt;$650M; lower bounds)</t>
        </is>
      </c>
      <c r="C22" t="inlineStr">
        <is>
          <t>+$400M/yr</t>
        </is>
      </c>
      <c r="D22" s="4" t="n">
        <v>400</v>
      </c>
      <c r="E22" s="6">
        <f>D22/100*$B$10</f>
        <v/>
      </c>
      <c r="F22" s="6">
        <f>D22/100*$B$11</f>
        <v/>
      </c>
      <c r="G22" s="8">
        <f>E22/$D$15</f>
        <v/>
      </c>
      <c r="H22" t="inlineStr">
        <is>
          <t>c3_economics/data/ai_first_arr_series.csv</t>
        </is>
      </c>
      <c r="I22" t="inlineStr">
        <is>
          <t>offsets ~0.7pt of subscription GM</t>
        </is>
      </c>
    </row>
    <row r="23">
      <c r="A23" t="inlineStr">
        <is>
          <t>C4-a</t>
        </is>
      </c>
      <c r="B23" t="inlineStr">
        <is>
          <t>Creative freemium MAU 100M -&gt; 150M at $8 AI-first ARR per incremental MAU (descriptive ratio)</t>
        </is>
      </c>
      <c r="C23" t="inlineStr">
        <is>
          <t>+50M MAU</t>
        </is>
      </c>
      <c r="D23" s="4" t="n">
        <v>400</v>
      </c>
      <c r="E23" s="6">
        <f>D23/100*$B$10</f>
        <v/>
      </c>
      <c r="F23" s="6">
        <f>D23/100*$B$11</f>
        <v/>
      </c>
      <c r="G23" s="8">
        <f>E23/$D$15</f>
        <v/>
      </c>
      <c r="H23" t="inlineStr">
        <is>
          <t>c4_users/data/mau_to_arr_ratio.csv</t>
        </is>
      </c>
      <c r="I23" t="inlineStr">
        <is>
          <t>ratio = (650-250)/(100-50); NOT causal</t>
        </is>
      </c>
    </row>
    <row r="24">
      <c r="A24" t="inlineStr">
        <is>
          <t>C4-b</t>
        </is>
      </c>
      <c r="B24" t="inlineStr">
        <is>
          <t>Creative freemium MAU 100M -&gt; 200M at $8/MAU</t>
        </is>
      </c>
      <c r="C24" t="inlineStr">
        <is>
          <t>+100M MAU</t>
        </is>
      </c>
      <c r="D24" s="4" t="n">
        <v>800</v>
      </c>
      <c r="E24" s="6">
        <f>D24/100*$B$10</f>
        <v/>
      </c>
      <c r="F24" s="6">
        <f>D24/100*$B$11</f>
        <v/>
      </c>
      <c r="G24" s="8">
        <f>E24/$D$15</f>
        <v/>
      </c>
      <c r="H24" t="inlineStr">
        <is>
          <t>c4_users/data/mau_to_arr_ratio.csv</t>
        </is>
      </c>
      <c r="I24" t="n">
        <v/>
      </c>
    </row>
    <row r="25">
      <c r="A25" t="inlineStr">
        <is>
          <t>CON-1a</t>
        </is>
      </c>
      <c r="B25" t="inlineStr">
        <is>
          <t>Seat compression: 3% of est. $8.5B teams/enterprise Creative Cloud ARR</t>
        </is>
      </c>
      <c r="C25" t="inlineStr">
        <is>
          <t>-3% seats</t>
        </is>
      </c>
      <c r="D25" s="4" t="n">
        <v>-255</v>
      </c>
      <c r="E25" s="6">
        <f>D25/100*$B$10</f>
        <v/>
      </c>
      <c r="F25" s="6">
        <f>D25/100*$B$11</f>
        <v/>
      </c>
      <c r="G25" s="8">
        <f>E25/$D$15</f>
        <v/>
      </c>
      <c r="H25" t="inlineStr">
        <is>
          <t>concessions/data/concessions_eps.csv</t>
        </is>
      </c>
      <c r="I25" t="inlineStr">
        <is>
          <t>basis ESTIMATE</t>
        </is>
      </c>
    </row>
    <row r="26">
      <c r="A26" t="inlineStr">
        <is>
          <t>CON-1b</t>
        </is>
      </c>
      <c r="B26" t="inlineStr">
        <is>
          <t>Seat compression: 5% of teams/enterprise Creative Cloud ARR</t>
        </is>
      </c>
      <c r="C26" t="inlineStr">
        <is>
          <t>-5% seats</t>
        </is>
      </c>
      <c r="D26" s="4" t="n">
        <v>-425</v>
      </c>
      <c r="E26" s="6">
        <f>D26/100*$B$10</f>
        <v/>
      </c>
      <c r="F26" s="6">
        <f>D26/100*$B$11</f>
        <v/>
      </c>
      <c r="G26" s="8">
        <f>E26/$D$15</f>
        <v/>
      </c>
      <c r="H26" t="inlineStr">
        <is>
          <t>concessions/data/concessions_eps.csv</t>
        </is>
      </c>
      <c r="I26" t="n">
        <v/>
      </c>
    </row>
    <row r="27">
      <c r="A27" t="inlineStr">
        <is>
          <t>CON-2a</t>
        </is>
      </c>
      <c r="B27" t="inlineStr">
        <is>
          <t>Adobe Stock erosion on ~$450M book</t>
        </is>
      </c>
      <c r="C27" t="inlineStr">
        <is>
          <t>-10%</t>
        </is>
      </c>
      <c r="D27" s="4" t="n">
        <v>-45</v>
      </c>
      <c r="E27" s="6">
        <f>D27/100*$B$10</f>
        <v/>
      </c>
      <c r="F27" s="6">
        <f>D27/100*$B$11</f>
        <v/>
      </c>
      <c r="G27" s="8">
        <f>E27/$D$15</f>
        <v/>
      </c>
      <c r="H27" t="inlineStr">
        <is>
          <t>concessions/data/concessions_eps.csv</t>
        </is>
      </c>
      <c r="I27" t="inlineStr">
        <is>
          <t>current implied decline only ~4%</t>
        </is>
      </c>
    </row>
    <row r="28">
      <c r="A28" t="inlineStr">
        <is>
          <t>CON-2b</t>
        </is>
      </c>
      <c r="B28" t="inlineStr">
        <is>
          <t>Adobe Stock erosion</t>
        </is>
      </c>
      <c r="C28" t="inlineStr">
        <is>
          <t>-20%</t>
        </is>
      </c>
      <c r="D28" s="4" t="n">
        <v>-90</v>
      </c>
      <c r="E28" s="6">
        <f>D28/100*$B$10</f>
        <v/>
      </c>
      <c r="F28" s="6">
        <f>D28/100*$B$11</f>
        <v/>
      </c>
      <c r="G28" s="8">
        <f>E28/$D$15</f>
        <v/>
      </c>
      <c r="H28" t="inlineStr">
        <is>
          <t>concessions/data/concessions_eps.csv</t>
        </is>
      </c>
      <c r="I28" t="inlineStr">
        <is>
          <t>Shutterstock content revenue -17% Q2 2026 as the peer analogue</t>
        </is>
      </c>
    </row>
    <row r="29">
      <c r="A29" t="inlineStr">
        <is>
          <t>CON-3a</t>
        </is>
      </c>
      <c r="B29" t="inlineStr">
        <is>
          <t>Individual-subscriber weakness: 3% of est. $7.0B individual CC ARR</t>
        </is>
      </c>
      <c r="C29" t="inlineStr">
        <is>
          <t>-3%</t>
        </is>
      </c>
      <c r="D29" s="4" t="n">
        <v>-210</v>
      </c>
      <c r="E29" s="6">
        <f>D29/100*$B$10</f>
        <v/>
      </c>
      <c r="F29" s="6">
        <f>D29/100*$B$11</f>
        <v/>
      </c>
      <c r="G29" s="8">
        <f>E29/$D$15</f>
        <v/>
      </c>
      <c r="H29" t="inlineStr">
        <is>
          <t>concessions/data/concessions_eps.csv</t>
        </is>
      </c>
      <c r="I29" t="n">
        <v/>
      </c>
    </row>
    <row r="30">
      <c r="A30" t="inlineStr">
        <is>
          <t>CON-3b</t>
        </is>
      </c>
      <c r="B30" t="inlineStr">
        <is>
          <t>Individual-subscriber weakness</t>
        </is>
      </c>
      <c r="C30" t="inlineStr">
        <is>
          <t>-5%</t>
        </is>
      </c>
      <c r="D30" s="4" t="n">
        <v>-350</v>
      </c>
      <c r="E30" s="6">
        <f>D30/100*$B$10</f>
        <v/>
      </c>
      <c r="F30" s="6">
        <f>D30/100*$B$11</f>
        <v/>
      </c>
      <c r="G30" s="8">
        <f>E30/$D$15</f>
        <v/>
      </c>
      <c r="H30" t="inlineStr">
        <is>
          <t>concessions/data/concessions_eps.csv</t>
        </is>
      </c>
      <c r="I30" t="n">
        <v/>
      </c>
    </row>
    <row r="31">
      <c r="A31" t="inlineStr">
        <is>
          <t>CON-3c</t>
        </is>
      </c>
      <c r="B31" t="inlineStr">
        <is>
          <t>Management-implied H2 FY26 organic net-new-ARR cut (10.2% target held while Semrush added ~$480M)</t>
        </is>
      </c>
      <c r="C31" t="inlineStr">
        <is>
          <t>mgmt-implied</t>
        </is>
      </c>
      <c r="D31" s="4" t="n">
        <v>-480</v>
      </c>
      <c r="E31" s="6">
        <f>D31/100*$B$10</f>
        <v/>
      </c>
      <c r="F31" s="6">
        <f>D31/100*$B$11</f>
        <v/>
      </c>
      <c r="G31" s="8">
        <f>E31/$D$15</f>
        <v/>
      </c>
      <c r="H31" t="inlineStr">
        <is>
          <t>concessions/data/individual_subscriber_quotes.csv</t>
        </is>
      </c>
      <c r="I31" t="n">
        <v/>
      </c>
    </row>
    <row r="32">
      <c r="A32" t="inlineStr">
        <is>
          <t>CON-sum-base</t>
        </is>
      </c>
      <c r="B32" t="inlineStr">
        <is>
          <t>All three concessions</t>
        </is>
      </c>
      <c r="C32" t="inlineStr">
        <is>
          <t>base sum</t>
        </is>
      </c>
      <c r="D32" s="4" t="n">
        <v>-510</v>
      </c>
      <c r="E32" s="6">
        <f>D32/100*$B$10</f>
        <v/>
      </c>
      <c r="F32" s="6">
        <f>D32/100*$B$11</f>
        <v/>
      </c>
      <c r="G32" s="8">
        <f>E32/$D$15</f>
        <v/>
      </c>
      <c r="H32" t="inlineStr">
        <is>
          <t>concessions/data/concessions_eps.csv</t>
        </is>
      </c>
      <c r="I32" t="inlineStr">
        <is>
          <t>3% seats + 10% Stock + 3% individual</t>
        </is>
      </c>
    </row>
    <row r="33">
      <c r="A33" t="inlineStr">
        <is>
          <t>CON-sum-bear</t>
        </is>
      </c>
      <c r="B33" t="inlineStr">
        <is>
          <t>All three concessions</t>
        </is>
      </c>
      <c r="C33" t="inlineStr">
        <is>
          <t>bear sum</t>
        </is>
      </c>
      <c r="D33" s="4" t="n">
        <v>-865</v>
      </c>
      <c r="E33" s="6">
        <f>D33/100*$B$10</f>
        <v/>
      </c>
      <c r="F33" s="6">
        <f>D33/100*$B$11</f>
        <v/>
      </c>
      <c r="G33" s="8">
        <f>E33/$D$15</f>
        <v/>
      </c>
      <c r="H33" t="inlineStr">
        <is>
          <t>concessions/data/concessions_eps.csv</t>
        </is>
      </c>
      <c r="I33" t="inlineStr">
        <is>
          <t>5% seats + 20% Stock + 5% individual</t>
        </is>
      </c>
    </row>
    <row r="34">
      <c r="A34" t="inlineStr">
        <is>
          <t>NNARR</t>
        </is>
      </c>
      <c r="B34" t="inlineStr">
        <is>
          <t>FY26 organic net new ARR vs FY25 ($2.14B vs $2.63B)</t>
        </is>
      </c>
      <c r="C34" t="inlineStr">
        <is>
          <t>-$490M</t>
        </is>
      </c>
      <c r="D34" s="4" t="n">
        <v>-490</v>
      </c>
      <c r="E34" s="6">
        <f>D34/100*$B$10</f>
        <v/>
      </c>
      <c r="F34" s="6">
        <f>D34/100*$B$11</f>
        <v/>
      </c>
      <c r="G34" s="8">
        <f>E34/$D$15</f>
        <v/>
      </c>
      <c r="H34" t="inlineStr">
        <is>
          <t>concessions/data/net_new_arr_fy25_vs_fy26.csv</t>
        </is>
      </c>
      <c r="I34" t="inlineStr">
        <is>
          <t>run-rate shortfall; FY27 consensus $2.34B needs +9% re-acceleration</t>
        </is>
      </c>
    </row>
    <row r="35">
      <c r="A35" t="inlineStr">
        <is>
          <t>C2-a</t>
        </is>
      </c>
      <c r="B35" t="inlineStr">
        <is>
          <t>Enterprise content-stack ARR (FY25 Digital Experience subscription base $5.41B) grows</t>
        </is>
      </c>
      <c r="C35" t="inlineStr">
        <is>
          <t>8%</t>
        </is>
      </c>
      <c r="D35" s="4" t="n">
        <v>433</v>
      </c>
      <c r="E35" s="6">
        <f>D35/100*$B$10</f>
        <v/>
      </c>
      <c r="F35" s="6">
        <f>D35/100*$B$11</f>
        <v/>
      </c>
      <c r="G35" s="8">
        <f>E35/$D$15</f>
        <v/>
      </c>
      <c r="H35" t="inlineStr">
        <is>
          <t>c2_content/data/eps_content_stack.csv</t>
        </is>
      </c>
      <c r="I35" t="inlineStr">
        <is>
          <t>8% ~ falsifier floor; DX no longer reported from FY26 (single segment)</t>
        </is>
      </c>
    </row>
    <row r="36">
      <c r="A36" t="inlineStr">
        <is>
          <t>C2-b</t>
        </is>
      </c>
      <c r="B36" t="inlineStr">
        <is>
          <t>Enterprise content-stack ARR (FY25 Digital Experience subscription base $5.41B) grows</t>
        </is>
      </c>
      <c r="C36" t="inlineStr">
        <is>
          <t>12%</t>
        </is>
      </c>
      <c r="D36" s="4" t="n">
        <v>649</v>
      </c>
      <c r="E36" s="6">
        <f>D36/100*$B$10</f>
        <v/>
      </c>
      <c r="F36" s="6">
        <f>D36/100*$B$11</f>
        <v/>
      </c>
      <c r="G36" s="8">
        <f>E36/$D$15</f>
        <v/>
      </c>
      <c r="H36" t="inlineStr">
        <is>
          <t>c2_content/data/eps_content_stack.csv</t>
        </is>
      </c>
      <c r="I36" t="inlineStr">
        <is>
          <t>8% ~ falsifier floor; DX no longer reported from FY26 (single segment)</t>
        </is>
      </c>
    </row>
    <row r="37">
      <c r="A37" t="inlineStr">
        <is>
          <t>C2-c</t>
        </is>
      </c>
      <c r="B37" t="inlineStr">
        <is>
          <t>Enterprise content-stack ARR (FY25 Digital Experience subscription base $5.41B) grows</t>
        </is>
      </c>
      <c r="C37" t="inlineStr">
        <is>
          <t>16%</t>
        </is>
      </c>
      <c r="D37" s="4" t="n">
        <v>865</v>
      </c>
      <c r="E37" s="6">
        <f>D37/100*$B$10</f>
        <v/>
      </c>
      <c r="F37" s="6">
        <f>D37/100*$B$11</f>
        <v/>
      </c>
      <c r="G37" s="8">
        <f>E37/$D$15</f>
        <v/>
      </c>
      <c r="H37" t="inlineStr">
        <is>
          <t>c2_content/data/eps_content_stack.csv</t>
        </is>
      </c>
      <c r="I37" t="inlineStr">
        <is>
          <t>8% ~ falsifier floor; DX no longer reported from FY26 (single segment)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7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ws4_call_nlp</t>
        </is>
      </c>
      <c r="B196" t="inlineStr">
        <is>
          <t>FY23_Q1 full earnings-call transcript (analyst questions, management text)</t>
        </is>
      </c>
      <c r="C196" t="inlineStr">
        <is>
          <t>full text</t>
        </is>
      </c>
      <c r="D196" t="inlineStr">
        <is>
          <t>https://raw.githubusercontent.com/mustafaazad03/vectorsearch/main/src/data/ADBE_transcripts/20230315%20Adobe%20Inc.%2C%20Q1%202023%20Earnings%20Call%2C%20Mar%2015%2C%202023.txt</t>
        </is>
      </c>
      <c r="E196" t="inlineStr">
        <is>
          <t>2026-10-02</t>
        </is>
      </c>
      <c r="F196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7">
      <c r="A197" t="inlineStr">
        <is>
          <t>ws4_call_nlp</t>
        </is>
      </c>
      <c r="B197" t="inlineStr">
        <is>
          <t>FY23_Q2 full earnings-call transcript (analyst questions, management text)</t>
        </is>
      </c>
      <c r="C197" t="inlineStr">
        <is>
          <t>full text</t>
        </is>
      </c>
      <c r="D197" t="inlineStr">
        <is>
          <t>https://raw.githubusercontent.com/mustafaazad03/vectorsearch/main/src/data/ADBE_transcripts/20230615%20Adobe%20Inc.%2C%20Q2%202023%20Earnings%20Call%2C%20Jun%2015%2C%202023.txt</t>
        </is>
      </c>
      <c r="E197" t="inlineStr">
        <is>
          <t>2026-10-02</t>
        </is>
      </c>
      <c r="F197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8">
      <c r="A198" t="inlineStr">
        <is>
          <t>ws4_call_nlp</t>
        </is>
      </c>
      <c r="B198" t="inlineStr">
        <is>
          <t>FY23_Q3 full earnings-call transcript (analyst questions, management text)</t>
        </is>
      </c>
      <c r="C198" t="inlineStr">
        <is>
          <t>full text</t>
        </is>
      </c>
      <c r="D198" t="inlineStr">
        <is>
          <t>https://raw.githubusercontent.com/mustafaazad03/vectorsearch/main/src/data/ADBE_transcripts/20230914%20Adobe%20Inc.%2C%20Q3%202023%20Earnings%20Call%2C%20Sep%2014%2C%202023.txt</t>
        </is>
      </c>
      <c r="E198" t="inlineStr">
        <is>
          <t>2026-10-02</t>
        </is>
      </c>
      <c r="F198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9">
      <c r="A199" t="inlineStr">
        <is>
          <t>ws4_call_nlp</t>
        </is>
      </c>
      <c r="B199" t="inlineStr">
        <is>
          <t>FY23_Q4 full earnings-call transcript (analyst questions, management text)</t>
        </is>
      </c>
      <c r="C199" t="inlineStr">
        <is>
          <t>full text</t>
        </is>
      </c>
      <c r="D199" t="inlineStr">
        <is>
          <t>https://raw.githubusercontent.com/mustafaazad03/vectorsearch/main/src/data/ADBE_transcripts/20231213%20Adobe%20Inc.%2C%20Q4%202023%20Earnings%20Call%2C%20Dec%2013%2C%202023.txt</t>
        </is>
      </c>
      <c r="E199" t="inlineStr">
        <is>
          <t>2026-10-02</t>
        </is>
      </c>
      <c r="F199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0">
      <c r="A200" t="inlineStr">
        <is>
          <t>ws4_call_nlp</t>
        </is>
      </c>
      <c r="B200" t="inlineStr">
        <is>
          <t>FY24_Q1 full earnings-call transcript (analyst questions, management text)</t>
        </is>
      </c>
      <c r="C200" t="inlineStr">
        <is>
          <t>full text</t>
        </is>
      </c>
      <c r="D200" t="inlineStr">
        <is>
          <t>https://raw.githubusercontent.com/mustafaazad03/vectorsearch/main/src/data/ADBE_transcripts/20240314%20Adobe%20Inc.%2C%20Q1%202024%20Earnings%20Call%2C%20Mar%2014%2C%202024.txt</t>
        </is>
      </c>
      <c r="E200" t="inlineStr">
        <is>
          <t>2026-10-02</t>
        </is>
      </c>
      <c r="F200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1">
      <c r="A201" t="inlineStr">
        <is>
          <t>ws4_call_nlp</t>
        </is>
      </c>
      <c r="B201" t="inlineStr">
        <is>
          <t>FY24_Q2 full earnings-call transcript (analyst questions, management text)</t>
        </is>
      </c>
      <c r="C201" t="inlineStr">
        <is>
          <t>full text</t>
        </is>
      </c>
      <c r="D201" t="inlineStr">
        <is>
          <t>https://raw.githubusercontent.com/mustafaazad03/vectorsearch/main/src/data/ADBE_transcripts/20240613%20Adobe%20Inc.%2C%20Q2%202024%20Earnings%20Call%2C%20Jun%2013%2C%202024.txt</t>
        </is>
      </c>
      <c r="E201" t="inlineStr">
        <is>
          <t>2026-10-02</t>
        </is>
      </c>
      <c r="F201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2">
      <c r="A202" t="inlineStr">
        <is>
          <t>ws4_call_nlp</t>
        </is>
      </c>
      <c r="B202" t="inlineStr">
        <is>
          <t>FY24_Q3 full earnings-call transcript (analyst questions, management text)</t>
        </is>
      </c>
      <c r="C202" t="inlineStr">
        <is>
          <t>full text</t>
        </is>
      </c>
      <c r="D202" t="inlineStr">
        <is>
          <t>https://raw.githubusercontent.com/Ngafney/garda-spring26/main/amir/transcripts/adobe/2024/Q3/ADBE_2024-10-10_Q3.txt</t>
        </is>
      </c>
      <c r="E202" t="inlineStr">
        <is>
          <t>2026-10-02</t>
        </is>
      </c>
      <c r="F202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3">
      <c r="A203" t="inlineStr">
        <is>
          <t>ws4_call_nlp</t>
        </is>
      </c>
      <c r="B203" t="inlineStr">
        <is>
          <t>FY24_Q4 full earnings-call transcript (analyst questions, management text)</t>
        </is>
      </c>
      <c r="C203" t="inlineStr">
        <is>
          <t>full text</t>
        </is>
      </c>
      <c r="D203" t="inlineStr">
        <is>
          <t>https://raw.githubusercontent.com/Ngafney/garda-spring26/main/amir/transcripts/adobe/2024/Q4/ADBE_2024-12-12_Q4.txt</t>
        </is>
      </c>
      <c r="E203" t="inlineStr">
        <is>
          <t>2026-10-02</t>
        </is>
      </c>
      <c r="F203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4">
      <c r="A204" t="inlineStr">
        <is>
          <t>ws4_call_nlp</t>
        </is>
      </c>
      <c r="B204" t="inlineStr">
        <is>
          <t>FY25_Q1 full earnings-call transcript (analyst questions, management text)</t>
        </is>
      </c>
      <c r="C204" t="inlineStr">
        <is>
          <t>full text</t>
        </is>
      </c>
      <c r="D204" t="inlineStr">
        <is>
          <t>https://raw.githubusercontent.com/Ngafney/garda-spring26/main/amir/transcripts/adobe/2025/Q1/ADBE_2025-03-13_Q1.txt</t>
        </is>
      </c>
      <c r="E204" t="inlineStr">
        <is>
          <t>2026-10-02</t>
        </is>
      </c>
      <c r="F204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5">
      <c r="A205" t="inlineStr">
        <is>
          <t>ws4_call_nlp</t>
        </is>
      </c>
      <c r="B205" t="inlineStr">
        <is>
          <t>FY26_Q1 full earnings-call transcript (analyst questions, management text)</t>
        </is>
      </c>
      <c r="C205" t="inlineStr">
        <is>
          <t>full text</t>
        </is>
      </c>
      <c r="D205" t="inlineStr">
        <is>
          <t>https://raw.githubusercontent.com/Ngafney/garda-spring26/main/amir/transcripts/adobe/2026/Q1/ADBE_2026-03-13_Q1.txt</t>
        </is>
      </c>
      <c r="E205" t="inlineStr">
        <is>
          <t>2026-10-02</t>
        </is>
      </c>
      <c r="F205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6">
      <c r="A206" t="inlineStr">
        <is>
          <t>ws4_call_nlp</t>
        </is>
      </c>
      <c r="B206" t="inlineStr">
        <is>
          <t>FY25_Q3 full transcript</t>
        </is>
      </c>
      <c r="C206" t="inlineStr">
        <is>
          <t>full text</t>
        </is>
      </c>
      <c r="D206" t="inlineStr">
        <is>
          <t>https://raw.githubusercontent.com/bencrowe0/citibank-arp/master/outputs/p2_adobe_ext2026_08_13/extracted/ADBE_FQ3_2025.txt</t>
        </is>
      </c>
      <c r="E206" t="inlineStr">
        <is>
          <t>2026-10-02</t>
        </is>
      </c>
      <c r="F206" t="inlineStr">
        <is>
          <t>GitHub mirror; file bundles Adobe press release + Insider Monkey transcript as one line</t>
        </is>
      </c>
    </row>
    <row r="207">
      <c r="A207" t="inlineStr">
        <is>
          <t>ws4_call_nlp</t>
        </is>
      </c>
      <c r="B207" t="inlineStr">
        <is>
          <t>FY26_Q2 transcript (Q&amp;A only; prepared remarks missing in source)</t>
        </is>
      </c>
      <c r="C207" t="inlineStr">
        <is>
          <t>Q&amp;A text</t>
        </is>
      </c>
      <c r="D207" t="inlineStr">
        <is>
          <t>https://raw.githubusercontent.com/bencrowe0/citibank-arp/master/outputs/p2_adobe_ext2026_08_13/extracted/ADBE_FQ2_2026.txt</t>
        </is>
      </c>
      <c r="E207" t="inlineStr">
        <is>
          <t>2026-10-02</t>
        </is>
      </c>
      <c r="F207" t="inlineStr">
        <is>
          <t>GitHub mirror of Insider Monkey transcript; press release bundled at top</t>
        </is>
      </c>
    </row>
    <row r="208">
      <c r="A208" t="inlineStr">
        <is>
          <t>ws4_call_nlp</t>
        </is>
      </c>
      <c r="B208" t="inlineStr">
        <is>
          <t>FY25_Q4 full transcript (structured LSEG JSON)</t>
        </is>
      </c>
      <c r="C208" t="inlineStr">
        <is>
          <t>full text</t>
        </is>
      </c>
      <c r="D208" t="inlineStr">
        <is>
          <t>https://raw.githubusercontent.com/yurukatsu/lseg-transcript-web/master/data/transcripts/16547194.json</t>
        </is>
      </c>
      <c r="E208" t="inlineStr">
        <is>
          <t>2026-10-02</t>
        </is>
      </c>
      <c r="F208" t="inlineStr">
        <is>
          <t>GitHub mirror of LSEG transcript JSON event 16547194 (Q4 2025 Adobe Inc Earnings Call, 2025-12-10)</t>
        </is>
      </c>
    </row>
    <row r="209">
      <c r="A209" t="inlineStr">
        <is>
          <t>ws4_call_nlp</t>
        </is>
      </c>
      <c r="B209" t="inlineStr">
        <is>
          <t>FY25_Q4 / FY26_Q1 cross-check copies</t>
        </is>
      </c>
      <c r="C209" t="inlineStr">
        <is>
          <t>full text</t>
        </is>
      </c>
      <c r="D209" t="inlineStr">
        <is>
          <t>https://raw.githubusercontent.com/Ngafney/garda-spring26/main/amir/transcripts/adobe/2025/Q4/ADBE_2025-12-10_Q4.txt ; https://raw.githubusercontent.com/bencrowe0/citibank-arp/master/outputs/p2_adobe_ext2026_08_13/extracted/ADBE_FQ1_2026.txt</t>
        </is>
      </c>
      <c r="E209" t="inlineStr">
        <is>
          <t>2026-10-02</t>
        </is>
      </c>
      <c r="F209" t="inlineStr">
        <is>
          <t>used only to cross-check speaker lists</t>
        </is>
      </c>
    </row>
    <row r="210">
      <c r="A210" t="inlineStr">
        <is>
          <t>ws4_call_nlp</t>
        </is>
      </c>
      <c r="B210" t="inlineStr">
        <is>
          <t>ADBE daily closes 2019-01-02..2026-07-30 (used for 14 call dates)</t>
        </is>
      </c>
      <c r="C210" t="inlineStr">
        <is>
          <t>CSV</t>
        </is>
      </c>
      <c r="D210" t="inlineStr">
        <is>
          <t>https://raw.githubusercontent.com/fja05680/brownbear/master/symbol-cache/ADBE.csv</t>
        </is>
      </c>
      <c r="E210" t="inlineStr">
        <is>
          <t>2026-10-02</t>
        </is>
      </c>
      <c r="F210" t="inlineStr">
        <is>
          <t>yfinance-derived OHLC in public GitHub repo fja05680/brownbear; closes identical to rosidotidev/algo1 db/tickers/ADBE.csv on overlapping dates</t>
        </is>
      </c>
    </row>
    <row r="211">
      <c r="A211" t="inlineStr">
        <is>
          <t>ws4_call_nlp</t>
        </is>
      </c>
      <c r="B211" t="inlineStr">
        <is>
          <t>ADBE close 2026-09-11 (next trading day after FY26 Q3 call)</t>
        </is>
      </c>
      <c r="C211" t="inlineStr">
        <is>
          <t>$252.23</t>
        </is>
      </c>
      <c r="D211" t="inlineStr">
        <is>
          <t>https://www.ad-hoc-news.de/boerse/news/corporate-news/adobe-inc-stock-gains-after-record-q3-and-raised-2026-guidance/70110548</t>
        </is>
      </c>
      <c r="E211" t="inlineStr">
        <is>
          <t>2026-10-02</t>
        </is>
      </c>
      <c r="F211" t="inlineStr">
        <is>
          <t>retrieved via WebSearch snippet; page not fetchable from this environment; single source, UNVERIFIED; price CSV ends 2026-07-30</t>
        </is>
      </c>
    </row>
    <row r="212">
      <c r="A212" t="inlineStr">
        <is>
          <t>ws4_call_nlp</t>
        </is>
      </c>
      <c r="B212" t="inlineStr">
        <is>
          <t>FY23 non-GAAP EPS target after Q1 FY23 call</t>
        </is>
      </c>
      <c r="C212" t="inlineStr">
        <is>
          <t>$15.30-15.60</t>
        </is>
      </c>
      <c r="D212" t="inlineStr">
        <is>
          <t>https://www.sec.gov/Archives/edgar/data/796343/000079634323000044/adbeex991q123.htm</t>
        </is>
      </c>
      <c r="E212" t="inlineStr">
        <is>
          <t>2026-10-02</t>
        </is>
      </c>
      <c r="F212" t="inlineStr">
        <is>
          <t>read from CFO prepared remarks in transcript; 8-K ex99.1 URL for reference (sec.gov not fetchable)</t>
        </is>
      </c>
    </row>
    <row r="213">
      <c r="A213" t="inlineStr">
        <is>
          <t>ws4_call_nlp</t>
        </is>
      </c>
      <c r="B213" t="inlineStr">
        <is>
          <t>FY23 non-GAAP EPS target after Q2 FY23 call</t>
        </is>
      </c>
      <c r="C213" t="inlineStr">
        <is>
          <t>$15.65-15.75</t>
        </is>
      </c>
      <c r="D213" t="inlineStr">
        <is>
          <t>https://www.sec.gov/Archives/edgar/data/796343/000079634323000133/adbeex991q223.htm</t>
        </is>
      </c>
      <c r="E213" t="inlineStr">
        <is>
          <t>2026-10-02</t>
        </is>
      </c>
      <c r="F213" t="inlineStr">
        <is>
          <t>transcript</t>
        </is>
      </c>
    </row>
    <row r="214">
      <c r="A214" t="inlineStr">
        <is>
          <t>ws4_call_nlp</t>
        </is>
      </c>
      <c r="B214" t="inlineStr">
        <is>
          <t>FY23 non-GAAP EPS implied after Q3 FY23 call</t>
        </is>
      </c>
      <c r="C214" t="inlineStr">
        <is>
          <t>$15.90-15.95 (9M actual 11.80 + Q4 target 4.10-4.15)</t>
        </is>
      </c>
      <c r="D214" t="inlineStr">
        <is>
          <t>https://www.sec.gov/Archives/edgar/data/796343/000079634323000198/adbeex991q323.htm</t>
        </is>
      </c>
      <c r="E214" t="inlineStr">
        <is>
          <t>2026-10-02</t>
        </is>
      </c>
      <c r="F214" t="inlineStr">
        <is>
          <t>FY range not restated in call text; implied</t>
        </is>
      </c>
    </row>
    <row r="215">
      <c r="A215" t="inlineStr">
        <is>
          <t>ws4_call_nlp</t>
        </is>
      </c>
      <c r="B215" t="inlineStr">
        <is>
          <t>FY24 initial non-GAAP EPS target (Q4 FY23 call, Dec-2023)</t>
        </is>
      </c>
      <c r="C215" t="inlineStr">
        <is>
          <t>$17.60-18.00</t>
        </is>
      </c>
      <c r="D215" t="inlineStr">
        <is>
          <t>https://www.sec.gov/Archives/edgar/data/796343/000079634323000252/adbeex991q423.htm</t>
        </is>
      </c>
      <c r="E215" t="inlineStr">
        <is>
          <t>2026-10-02</t>
        </is>
      </c>
      <c r="F215" t="inlineStr">
        <is>
          <t>transcript; matches orchestrator anchor</t>
        </is>
      </c>
    </row>
    <row r="216">
      <c r="A216" t="inlineStr">
        <is>
          <t>ws4_call_nlp</t>
        </is>
      </c>
      <c r="B216" t="inlineStr">
        <is>
          <t>FY24 non-GAAP EPS target after Q1 FY24 call</t>
        </is>
      </c>
      <c r="C216" t="inlineStr">
        <is>
          <t>$17.60-18.00 (carried; not updated on call)</t>
        </is>
      </c>
      <c r="D216" t="inlineStr">
        <is>
          <t>https://www.sec.gov/Archives/edgar/data/796343/000079634324000057/adbeex991q124.htm</t>
        </is>
      </c>
      <c r="E216" t="inlineStr">
        <is>
          <t>2026-10-02</t>
        </is>
      </c>
      <c r="F216" t="inlineStr">
        <is>
          <t>analyst asked management to affirm (Q&amp;A #3)</t>
        </is>
      </c>
    </row>
    <row r="217">
      <c r="A217" t="inlineStr">
        <is>
          <t>ws4_call_nlp</t>
        </is>
      </c>
      <c r="B217" t="inlineStr">
        <is>
          <t>FY24 non-GAAP EPS target after Q2 FY24 call</t>
        </is>
      </c>
      <c r="C217" t="inlineStr">
        <is>
          <t>$18.00-18.20</t>
        </is>
      </c>
      <c r="D217" t="inlineStr">
        <is>
          <t>https://www.sec.gov/Archives/edgar/data/796343/000079634324000140/adbeex991q224.htm</t>
        </is>
      </c>
      <c r="E217" t="inlineStr">
        <is>
          <t>2026-10-02</t>
        </is>
      </c>
      <c r="F217" t="inlineStr">
        <is>
          <t>transcript</t>
        </is>
      </c>
    </row>
    <row r="218">
      <c r="A218" t="inlineStr">
        <is>
          <t>ws4_call_nlp</t>
        </is>
      </c>
      <c r="B218" t="inlineStr">
        <is>
          <t>FY24 non-GAAP EPS implied after Q3 FY24 call</t>
        </is>
      </c>
      <c r="C218" t="inlineStr">
        <is>
          <t>$18.24-18.29 (9M actual 13.61 + Q4 target 4.63-4.68)</t>
        </is>
      </c>
      <c r="D218" t="inlineStr">
        <is>
          <t>https://www.sec.gov/Archives/edgar/data/796343/000079634324000200/adbeex991q324.htm</t>
        </is>
      </c>
      <c r="E218" t="inlineStr">
        <is>
          <t>2026-10-02</t>
        </is>
      </c>
      <c r="F218" t="inlineStr">
        <is>
          <t>implied</t>
        </is>
      </c>
    </row>
    <row r="219">
      <c r="A219" t="inlineStr">
        <is>
          <t>ws4_call_nlp</t>
        </is>
      </c>
      <c r="B219" t="inlineStr">
        <is>
          <t>FY25 initial non-GAAP EPS target (Q4 FY24 call, Dec-2024)</t>
        </is>
      </c>
      <c r="C219" t="inlineStr">
        <is>
          <t>$20.20-20.50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transcript; matches orchestrator anchor</t>
        </is>
      </c>
    </row>
    <row r="220">
      <c r="A220" t="inlineStr">
        <is>
          <t>ws4_call_nlp</t>
        </is>
      </c>
      <c r="B220" t="inlineStr">
        <is>
          <t>FY25 non-GAAP EPS target after Q1 FY25 call</t>
        </is>
      </c>
      <c r="C220" t="inlineStr">
        <is>
          <t>$20.20-20.50 (reaffirmed)</t>
        </is>
      </c>
      <c r="D220" t="inlineStr">
        <is>
          <t>https://www.sec.gov/Archives/edgar/data/796343/000079634325000052/adbeex991q125.htm</t>
        </is>
      </c>
      <c r="E220" t="inlineStr">
        <is>
          <t>2026-10-02</t>
        </is>
      </c>
      <c r="F220" t="inlineStr">
        <is>
          <t>transcript: 'reaffirm our fiscal 25 targets'</t>
        </is>
      </c>
    </row>
    <row r="221">
      <c r="A221" t="inlineStr">
        <is>
          <t>ws4_call_nlp</t>
        </is>
      </c>
      <c r="B221" t="inlineStr">
        <is>
          <t>FY25 non-GAAP EPS target after Q2 FY25 call</t>
        </is>
      </c>
      <c r="C221" t="inlineStr">
        <is>
          <t>$20.50-20.70</t>
        </is>
      </c>
      <c r="D221" t="inlineStr">
        <is>
          <t>https://www.sec.gov/Archives/edgar/data/796343/000079634325000064/adbeex991q225.htm</t>
        </is>
      </c>
      <c r="E221" t="inlineStr">
        <is>
          <t>2026-10-02</t>
        </is>
      </c>
      <c r="F221" t="inlineStr">
        <is>
          <t>retrieved via WebSearch snippet; page not fetchable from this environment</t>
        </is>
      </c>
    </row>
    <row r="222">
      <c r="A222" t="inlineStr">
        <is>
          <t>ws4_call_nlp</t>
        </is>
      </c>
      <c r="B222" t="inlineStr">
        <is>
          <t>FY25 non-GAAP EPS target after Q3 FY25 call</t>
        </is>
      </c>
      <c r="C222" t="inlineStr">
        <is>
          <t>$20.80-20.85</t>
        </is>
      </c>
      <c r="D222" t="inlineStr">
        <is>
          <t>https://www.sec.gov/Archives/edgar/data/796343/000079634325000102/adbeex991q325.htm</t>
        </is>
      </c>
      <c r="E222" t="inlineStr">
        <is>
          <t>2026-10-02</t>
        </is>
      </c>
      <c r="F222" t="inlineStr">
        <is>
          <t>transcript</t>
        </is>
      </c>
    </row>
    <row r="223">
      <c r="A223" t="inlineStr">
        <is>
          <t>ws4_call_nlp</t>
        </is>
      </c>
      <c r="B223" t="inlineStr">
        <is>
          <t>FY26 initial non-GAAP EPS target (Q4 FY25 call, Dec-2025)</t>
        </is>
      </c>
      <c r="C223" t="inlineStr">
        <is>
          <t>$23.30-23.50</t>
        </is>
      </c>
      <c r="D223" t="inlineStr">
        <is>
          <t>https://www.sec.gov/Archives/edgar/data/796343/000079634325000135/adbeex991q425.htm</t>
        </is>
      </c>
      <c r="E223" t="inlineStr">
        <is>
          <t>2026-10-02</t>
        </is>
      </c>
      <c r="F223" t="inlineStr">
        <is>
          <t>transcript</t>
        </is>
      </c>
    </row>
    <row r="224">
      <c r="A224" t="inlineStr">
        <is>
          <t>ws4_call_nlp</t>
        </is>
      </c>
      <c r="B224" t="inlineStr">
        <is>
          <t>FY26 non-GAAP EPS target after Q1 FY26 call</t>
        </is>
      </c>
      <c r="C224" t="inlineStr">
        <is>
          <t>$23.30-23.50 (reaffirmed)</t>
        </is>
      </c>
      <c r="D224" t="inlineStr">
        <is>
          <t>https://www.sec.gov/Archives/edgar/data/796343/000079634326000048/adbeex991q126.htm</t>
        </is>
      </c>
      <c r="E224" t="inlineStr">
        <is>
          <t>2026-10-02</t>
        </is>
      </c>
      <c r="F224" t="inlineStr">
        <is>
          <t>transcript: 'reaffirming our FY 26 targets'</t>
        </is>
      </c>
    </row>
    <row r="225">
      <c r="A225" t="inlineStr">
        <is>
          <t>ws4_call_nlp</t>
        </is>
      </c>
      <c r="B225" t="inlineStr">
        <is>
          <t>FY26 non-GAAP EPS target after Q2 FY26 call</t>
        </is>
      </c>
      <c r="C225" t="inlineStr">
        <is>
          <t>$24.35-24.45</t>
        </is>
      </c>
      <c r="D225" t="inlineStr">
        <is>
          <t>https://www.sec.gov/Archives/edgar/data/0000796343/000079634326000109/adbeex991q226.htm</t>
        </is>
      </c>
      <c r="E225" t="inlineStr">
        <is>
          <t>2026-10-02</t>
        </is>
      </c>
      <c r="F225" t="inlineStr">
        <is>
          <t>press-release text bundled in transcript file + WebSearch snippet</t>
        </is>
      </c>
    </row>
    <row r="226">
      <c r="A226" t="inlineStr">
        <is>
          <t>ws4_call_nlp</t>
        </is>
      </c>
      <c r="B226" t="inlineStr">
        <is>
          <t>FY26 non-GAAP EPS target after Q3 FY26 call</t>
        </is>
      </c>
      <c r="C226" t="inlineStr">
        <is>
          <t>$24.45-24.50</t>
        </is>
      </c>
      <c r="D226" t="inlineStr">
        <is>
          <t>https://www.sec.gov/Archives/edgar/data/0000796343/000079634326000147/adbeex991q326.htm</t>
        </is>
      </c>
      <c r="E226" t="inlineStr">
        <is>
          <t>2026-10-02</t>
        </is>
      </c>
      <c r="F226" t="inlineStr">
        <is>
          <t>retrieved via WebSearch snippet; matches orchestrator anchor</t>
        </is>
      </c>
    </row>
    <row r="227">
      <c r="A227" t="inlineStr">
        <is>
          <t>ws4_call_nlp</t>
        </is>
      </c>
      <c r="B227" t="inlineStr">
        <is>
          <t>Q2 FY25 headline: revenue / non-GAAP EPS</t>
        </is>
      </c>
      <c r="C227" t="inlineStr">
        <is>
          <t>$5.87B / $5.06</t>
        </is>
      </c>
      <c r="D227" t="inlineStr">
        <is>
          <t>https://www.businesswire.com/news/home/20250612259889/en/Adobe-Reports-Record-Revenue-in-Q2-and-Raises-FY25-Revenue-and-EPS-Targets</t>
        </is>
      </c>
      <c r="E227" t="inlineStr">
        <is>
          <t>2026-10-02</t>
        </is>
      </c>
      <c r="F227" t="inlineStr">
        <is>
          <t>retrieved via WebSearch snippet</t>
        </is>
      </c>
    </row>
    <row r="228">
      <c r="A228" t="inlineStr">
        <is>
          <t>ws4_call_nlp</t>
        </is>
      </c>
      <c r="B228" t="inlineStr">
        <is>
          <t>Q2 FY26 headline: revenue / non-GAAP EPS</t>
        </is>
      </c>
      <c r="C228" t="inlineStr">
        <is>
          <t>$6.62B / $5.96</t>
        </is>
      </c>
      <c r="D228" t="inlineStr">
        <is>
          <t>https://www.sec.gov/Archives/edgar/data/0000796343/000079634326000109/adbeex991q226.htm</t>
        </is>
      </c>
      <c r="E228" t="inlineStr">
        <is>
          <t>2026-10-02</t>
        </is>
      </c>
      <c r="F228" t="inlineStr">
        <is>
          <t>revenue from bundled press-release text; EPS via WebSearch snippet</t>
        </is>
      </c>
    </row>
    <row r="229">
      <c r="A229" t="inlineStr">
        <is>
          <t>ws4_call_nlp</t>
        </is>
      </c>
      <c r="B229" t="inlineStr">
        <is>
          <t>Q3 FY26 headline: revenue / non-GAAP EPS / total ARR / AI-first ARR / RPO</t>
        </is>
      </c>
      <c r="C229" t="inlineStr">
        <is>
          <t>$6.76B / $6.13 / $27.50B / &gt;$650M / $22.16B (+8%)</t>
        </is>
      </c>
      <c r="D229" t="inlineStr">
        <is>
          <t>https://finance.yahoo.com/markets/stocks/articles/adobe-q3-2026-earnings-1-110958223.html</t>
        </is>
      </c>
      <c r="E229" t="inlineStr">
        <is>
          <t>2026-10-02</t>
        </is>
      </c>
      <c r="F229" t="inlineStr">
        <is>
          <t>retrieved via WebSearch snippet; primary is 8-K ex99.1 adbeex991q326.htm</t>
        </is>
      </c>
    </row>
    <row r="230">
      <c r="A230" t="inlineStr">
        <is>
          <t>ws4_call_nlp</t>
        </is>
      </c>
      <c r="B230" t="inlineStr">
        <is>
          <t>Q4 FY25 quarterly non-GAAP EPS</t>
        </is>
      </c>
      <c r="C230" t="inlineStr">
        <is>
          <t>$5.49 (derived: FY25 $20.94 minus 9M $15.45)</t>
        </is>
      </c>
      <c r="D230" t="inlineStr">
        <is>
          <t>https://www.sec.gov/Archives/edgar/data/796343/000079634325000135/adbeex991q425.htm</t>
        </is>
      </c>
      <c r="E230" t="inlineStr">
        <is>
          <t>2026-10-02</t>
        </is>
      </c>
      <c r="F230" t="inlineStr">
        <is>
          <t>FY figure from press-release text in transcript file</t>
        </is>
      </c>
    </row>
    <row r="231">
      <c r="A231" t="inlineStr">
        <is>
          <t>ws4_call_nlp</t>
        </is>
      </c>
      <c r="B231" t="inlineStr">
        <is>
          <t>FY25 Q2 call Q&amp;A (partial): Express-in-Acrobat pricing question; Adobe Stock video / commercially-safe question</t>
        </is>
      </c>
      <c r="C231" t="inlineStr">
        <is>
          <t>2 questions recovered</t>
        </is>
      </c>
      <c r="D231" t="inlineStr">
        <is>
          <t>https://markets.financialcontent.com/stocks/article/stockstory-2025-7-7-the-5-most-interesting-analyst-questions-from-adobes-q2-earnings-call</t>
        </is>
      </c>
      <c r="E231" t="inlineStr">
        <is>
          <t>2026-10-02</t>
        </is>
      </c>
      <c r="F231" t="inlineStr">
        <is>
          <t>retrieved via WebSearch snippet; page blocked; partial coverage</t>
        </is>
      </c>
    </row>
    <row r="232">
      <c r="A232" t="inlineStr">
        <is>
          <t>ws4_call_nlp</t>
        </is>
      </c>
      <c r="B232" t="inlineStr">
        <is>
          <t>FY25 Q2 call participants confirmed (Zukin, Thill, Vleeschhouwer, Rangan)</t>
        </is>
      </c>
      <c r="C232" t="inlineStr">
        <is>
          <t>names only</t>
        </is>
      </c>
      <c r="D232" t="inlineStr">
        <is>
          <t>https://www.marketscreener.com/quote/stock/ADOBE-INC-4844/news/Transcript-Adobe-Inc-Q2-2025-Earnings-Call-Jun-12-2025-50230016/</t>
        </is>
      </c>
      <c r="E232" t="inlineStr">
        <is>
          <t>2026-10-02</t>
        </is>
      </c>
      <c r="F232" t="inlineStr">
        <is>
          <t>WebSearch snippet; their questions not recovered</t>
        </is>
      </c>
    </row>
    <row r="233">
      <c r="A233" t="inlineStr">
        <is>
          <t>ws4_call_nlp</t>
        </is>
      </c>
      <c r="B233" t="inlineStr">
        <is>
          <t>FY26 Q3 call Q&amp;A (partial): Zukin/Wolfe pricing-model question; Thill/Jefferies credit consumption; Weiss/MS model integration &amp; ad platforms</t>
        </is>
      </c>
      <c r="C233" t="inlineStr">
        <is>
          <t>3 questions recovered</t>
        </is>
      </c>
      <c r="D233" t="inlineStr">
        <is>
          <t>https://www.investing.com/news/transcripts/earnings-call-transcript-adobe-tops-q3-2026-estimates-but-shares-fall-93CH-4897022</t>
        </is>
      </c>
      <c r="E233" t="inlineStr">
        <is>
          <t>2026-10-02</t>
        </is>
      </c>
      <c r="F233" t="inlineStr">
        <is>
          <t>WebSearch snippet; page blocked; partial coverage</t>
        </is>
      </c>
    </row>
    <row r="234">
      <c r="A234" t="inlineStr">
        <is>
          <t>ws4_call_nlp</t>
        </is>
      </c>
      <c r="B234" t="inlineStr">
        <is>
          <t>FY26 Q3 call Q&amp;A (partial): Zelnick/DB freemium conversion (Chakravarthy answer: creative freemium MAU &gt;100M, +70%)</t>
        </is>
      </c>
      <c r="C234" t="inlineStr">
        <is>
          <t>1 question recovered</t>
        </is>
      </c>
      <c r="D234" t="inlineStr">
        <is>
          <t>https://ca.investing.com/news/company-news/adobe-inc-adbe-q3-2026-earnings-call-highlights-record-revenue-1-billion-mau-and--4836069</t>
        </is>
      </c>
      <c r="E234" t="inlineStr">
        <is>
          <t>2026-10-02</t>
        </is>
      </c>
      <c r="F234" t="inlineStr">
        <is>
          <t>GuruFocus highlights via WebSearch snippet</t>
        </is>
      </c>
    </row>
    <row r="235">
      <c r="A235" t="inlineStr">
        <is>
          <t>ws4_call_nlp</t>
        </is>
      </c>
      <c r="B235" t="inlineStr">
        <is>
          <t>FY26 Q3 call Q&amp;A (partial): RPO +8% single-digit; net new ARR decline attributed to freemium emphasis</t>
        </is>
      </c>
      <c r="C235" t="inlineStr">
        <is>
          <t>2 questions recovered (analysts unnamed)</t>
        </is>
      </c>
      <c r="D235" t="inlineStr">
        <is>
          <t>https://finance.yahoo.com/markets/stocks/articles/adobe-q3-2026-earnings-1-110958223.html</t>
        </is>
      </c>
      <c r="E235" t="inlineStr">
        <is>
          <t>2026-10-02</t>
        </is>
      </c>
      <c r="F235" t="inlineStr">
        <is>
          <t>WebSearch snippet</t>
        </is>
      </c>
    </row>
    <row r="236">
      <c r="A236" t="inlineStr">
        <is>
          <t>ws4_call_nlp</t>
        </is>
      </c>
      <c r="B236" t="inlineStr">
        <is>
          <t>FY26 Q3 call participants confirmed (Turrin, Kalia, Radke)</t>
        </is>
      </c>
      <c r="C236" t="inlineStr">
        <is>
          <t>names only</t>
        </is>
      </c>
      <c r="D236" t="inlineStr">
        <is>
          <t>https://www.investing.com/news/transcripts/earnings-call-transcript-adobe-tops-q3-2026-estimates-but-shares-fall-93CH-4897022</t>
        </is>
      </c>
      <c r="E236" t="inlineStr">
        <is>
          <t>2026-10-02</t>
        </is>
      </c>
      <c r="F236" t="inlineStr">
        <is>
          <t>WebSearch snippet; questions not recovered</t>
        </is>
      </c>
    </row>
    <row r="237">
      <c r="A237" t="inlineStr">
        <is>
          <t>ws4_call_nlp</t>
        </is>
      </c>
      <c r="B237" t="inlineStr">
        <is>
          <t>CEO transition announced on FY26 Q1 call (Narayen: 'transitioning from my role as CEO after over 18 years')</t>
        </is>
      </c>
      <c r="C237" t="inlineStr">
        <is>
          <t>2026-03-12</t>
        </is>
      </c>
      <c r="D237" t="inlineStr">
        <is>
          <t>https://raw.githubusercontent.com/Ngafney/garda-spring26/main/amir/transcripts/adobe/2026/Q1/ADBE_2026-03-13_Q1.txt</t>
        </is>
      </c>
      <c r="E237" t="inlineStr">
        <is>
          <t>2026-10-02</t>
        </is>
      </c>
      <c r="F237" t="inlineStr">
        <is>
          <t>transcript</t>
        </is>
      </c>
    </row>
    <row r="238">
      <c r="A238" t="inlineStr">
        <is>
          <t>ws4_call_nlp</t>
        </is>
      </c>
      <c r="B238" t="inlineStr">
        <is>
          <t>CFO transition (Durn leaving) raised in first question of FY26 Q2 call; Steve Day interim CFO by FY26 Q3</t>
        </is>
      </c>
      <c r="C238" t="inlineStr">
        <is>
          <t>2026-06-11 / 2026-09-10</t>
        </is>
      </c>
      <c r="D238" t="inlineStr">
        <is>
          <t>https://raw.githubusercontent.com/bencrowe0/citibank-arp/master/outputs/p2_adobe_ext2026_08_13/extracted/ADBE_FQ2_2026.txt</t>
        </is>
      </c>
      <c r="E238" t="inlineStr">
        <is>
          <t>2026-10-02</t>
        </is>
      </c>
      <c r="F238" t="inlineStr">
        <is>
          <t>transcript + WebSearch snippet (Investing.com) for interim CFO</t>
        </is>
      </c>
    </row>
    <row r="239">
      <c r="A239" t="inlineStr">
        <is>
          <t>ws4_call_nlp</t>
        </is>
      </c>
      <c r="B239" t="inlineStr">
        <is>
          <t>Keyword-vs-hand topic agreement</t>
        </is>
      </c>
      <c r="C239" t="inlineStr">
        <is>
          <t>72.2% (37 overrides / 133 questions)</t>
        </is>
      </c>
      <c r="D239" t="inlineStr">
        <is>
          <t>data/analyst_questions.csv</t>
        </is>
      </c>
      <c r="E239" t="inlineStr">
        <is>
          <t>2026-10-02</t>
        </is>
      </c>
      <c r="F239" t="inlineStr">
        <is>
          <t>single rater; all full-text questions reviewed</t>
        </is>
      </c>
    </row>
    <row r="240">
      <c r="A240" t="inlineStr">
        <is>
          <t>ws5_trends_competitors</t>
        </is>
      </c>
      <c r="B240" t="inlineStr">
        <is>
          <t>Google Trends unreachable from container</t>
        </is>
      </c>
      <c r="C240" t="inlineStr">
        <is>
          <t>ProxyError 403 in 0.8s (pytrends)</t>
        </is>
      </c>
      <c r="D240" t="inlineStr">
        <is>
          <t>https://trends.google.com/trends/explore</t>
        </is>
      </c>
      <c r="E240" t="inlineStr">
        <is>
          <t>2026-10-02</t>
        </is>
      </c>
      <c r="F240" t="inlineStr">
        <is>
          <t>Single probe; manual export kit written instead</t>
        </is>
      </c>
    </row>
    <row r="241">
      <c r="A241" t="inlineStr">
        <is>
          <t>ws5_trends_competitors</t>
        </is>
      </c>
      <c r="B241" t="inlineStr">
        <is>
          <t>Figma FY2023 revenue</t>
        </is>
      </c>
      <c r="C241" t="inlineStr">
        <is>
          <t>$504M</t>
        </is>
      </c>
      <c r="D241" t="inlineStr">
        <is>
          <t>https://www.sec.gov/Archives/edgar/data/1579878/000162828025033742/figma-sx1.htm</t>
        </is>
      </c>
      <c r="E241" t="inlineStr">
        <is>
          <t>2026-10-02</t>
        </is>
      </c>
      <c r="F241" t="inlineStr">
        <is>
          <t>retrieved via WebSearch snippet; page not fetchable from this environment</t>
        </is>
      </c>
    </row>
    <row r="242">
      <c r="A242" t="inlineStr">
        <is>
          <t>ws5_trends_competitors</t>
        </is>
      </c>
      <c r="B242" t="inlineStr">
        <is>
          <t>Figma FY2024 revenue</t>
        </is>
      </c>
      <c r="C242" t="inlineStr">
        <is>
          <t>$749M (+48%)</t>
        </is>
      </c>
      <c r="D242" t="inlineStr">
        <is>
          <t>https://www.sec.gov/Archives/edgar/data/1579878/000162828025033742/figma-sx1.htm</t>
        </is>
      </c>
      <c r="E242" t="inlineStr">
        <is>
          <t>2026-10-02</t>
        </is>
      </c>
      <c r="F242" t="inlineStr">
        <is>
          <t>retrieved via WebSearch snippet</t>
        </is>
      </c>
    </row>
    <row r="243">
      <c r="A243" t="inlineStr">
        <is>
          <t>ws5_trends_competitors</t>
        </is>
      </c>
      <c r="B243" t="inlineStr">
        <is>
          <t>Figma Q1 2024 / Q1 2025 revenue</t>
        </is>
      </c>
      <c r="C243" t="inlineStr">
        <is>
          <t>$156.2M / $228.2M (+46%)</t>
        </is>
      </c>
      <c r="D243" t="inlineStr">
        <is>
          <t>https://www.sec.gov/Archives/edgar/data/1579878/000162828025033742/figma-sx1.htm</t>
        </is>
      </c>
      <c r="E243" t="inlineStr">
        <is>
          <t>2026-10-02</t>
        </is>
      </c>
      <c r="F243" t="inlineStr">
        <is>
          <t>retrieved via WebSearch snippet</t>
        </is>
      </c>
    </row>
    <row r="244">
      <c r="A244" t="inlineStr">
        <is>
          <t>ws5_trends_competitors</t>
        </is>
      </c>
      <c r="B244" t="inlineStr">
        <is>
          <t>Figma NDR Mar-2024 / Mar-2025</t>
        </is>
      </c>
      <c r="C244" t="inlineStr">
        <is>
          <t>125% / 132%</t>
        </is>
      </c>
      <c r="D244" t="inlineStr">
        <is>
          <t>https://www.sec.gov/Archives/edgar/data/1579878/000162828025033742/figma-sx1.htm</t>
        </is>
      </c>
      <c r="E244" t="inlineStr">
        <is>
          <t>2026-10-02</t>
        </is>
      </c>
      <c r="F244" t="inlineStr">
        <is>
          <t>retrieved via WebSearch snippet</t>
        </is>
      </c>
    </row>
    <row r="245">
      <c r="A245" t="inlineStr">
        <is>
          <t>ws5_trends_competitors</t>
        </is>
      </c>
      <c r="B245" t="inlineStr">
        <is>
          <t>Figma &gt;$10k customers Mar-2023/2024/2025</t>
        </is>
      </c>
      <c r="C245" t="inlineStr">
        <is>
          <t>5,945 / 8,007 / 11,107</t>
        </is>
      </c>
      <c r="D245" t="inlineStr">
        <is>
          <t>https://www.sec.gov/Archives/edgar/data/1579878/000162828025033742/figma-sx1.htm</t>
        </is>
      </c>
      <c r="E245" t="inlineStr">
        <is>
          <t>2026-10-02</t>
        </is>
      </c>
      <c r="F245" t="inlineStr">
        <is>
          <t>retrieved via WebSearch snippet</t>
        </is>
      </c>
    </row>
    <row r="246">
      <c r="A246" t="inlineStr">
        <is>
          <t>ws5_trends_competitors</t>
        </is>
      </c>
      <c r="B246" t="inlineStr">
        <is>
          <t>Figma &gt;$100k customers Mar-2023 / Mar-2025</t>
        </is>
      </c>
      <c r="C246" t="inlineStr">
        <is>
          <t>456 / 1,031</t>
        </is>
      </c>
      <c r="D246" t="inlineStr">
        <is>
          <t>https://www.sec.gov/Archives/edgar/data/1579878/000162828025033742/figma-sx1.htm</t>
        </is>
      </c>
      <c r="E246" t="inlineStr">
        <is>
          <t>2026-10-02</t>
        </is>
      </c>
      <c r="F246" t="inlineStr">
        <is>
          <t>retrieved via WebSearch snippet</t>
        </is>
      </c>
    </row>
    <row r="247">
      <c r="A247" t="inlineStr">
        <is>
          <t>ws5_trends_competitors</t>
        </is>
      </c>
      <c r="B247" t="inlineStr">
        <is>
          <t>Figma Q2 2025 revenue</t>
        </is>
      </c>
      <c r="C247" t="inlineStr">
        <is>
          <t>$249.6M (+41%)</t>
        </is>
      </c>
      <c r="D247" t="inlineStr">
        <is>
          <t>https://www.sec.gov/Archives/edgar/data/1579878/000157987825000026/q225pressrelease.htm</t>
        </is>
      </c>
      <c r="E247" t="inlineStr">
        <is>
          <t>2026-10-02</t>
        </is>
      </c>
      <c r="F247" t="inlineStr">
        <is>
          <t>8-K 2025-09-03; also businesswire.com/news/home/20250903760601; &gt;1100 customers &gt;$100k</t>
        </is>
      </c>
    </row>
    <row r="248">
      <c r="A248" t="inlineStr">
        <is>
          <t>ws5_trends_competitors</t>
        </is>
      </c>
      <c r="B248" t="inlineStr">
        <is>
          <t>Figma Q3 2025 revenue / NDR / &gt;$100k</t>
        </is>
      </c>
      <c r="C248" t="inlineStr">
        <is>
          <t>$274.2M (+38%) / 131% / 1,262</t>
        </is>
      </c>
      <c r="D248" t="inlineStr">
        <is>
          <t>https://www.sec.gov/Archives/edgar/data/1579878/000162828025049555/q325pressrelease.htm</t>
        </is>
      </c>
      <c r="E248" t="inlineStr">
        <is>
          <t>2026-10-02</t>
        </is>
      </c>
      <c r="F248" t="inlineStr">
        <is>
          <t>8-K 2025-11-05; FY25 guide then $1.021-1.025B</t>
        </is>
      </c>
    </row>
    <row r="249">
      <c r="A249" t="inlineStr">
        <is>
          <t>ws5_trends_competitors</t>
        </is>
      </c>
      <c r="B249" t="inlineStr">
        <is>
          <t>Figma Q4 2025 and FY2025 revenue</t>
        </is>
      </c>
      <c r="C249" t="inlineStr">
        <is>
          <t>$303.8M (+40%); FY $1.056B (+41%)</t>
        </is>
      </c>
      <c r="D249" t="inlineStr">
        <is>
          <t>https://www.sec.gov/Archives/edgar/data/1579878/000162828026009024/fy25pressrelease.htm</t>
        </is>
      </c>
      <c r="E249" t="inlineStr">
        <is>
          <t>2026-10-02</t>
        </is>
      </c>
      <c r="F249" t="inlineStr">
        <is>
          <t>8-K 2026-02-18; NDR 136%; &gt;$10k 13861; &gt;$100k 1405; initial FY26 guide $1.366-1.374B</t>
        </is>
      </c>
    </row>
    <row r="250">
      <c r="A250" t="inlineStr">
        <is>
          <t>ws5_trends_competitors</t>
        </is>
      </c>
      <c r="B250" t="inlineStr">
        <is>
          <t>Figma Q1 2026 revenue / NDR / customers</t>
        </is>
      </c>
      <c r="C250" t="inlineStr">
        <is>
          <t>$333.4M (+46%) / 139% / 15,218 &gt;$10k / 1,525 &gt;$100k</t>
        </is>
      </c>
      <c r="D250" t="inlineStr">
        <is>
          <t>https://www.sec.gov/Archives/edgar/data/0001579878/000162828026035087/q126pressrelease.htm</t>
        </is>
      </c>
      <c r="E250" t="inlineStr">
        <is>
          <t>2026-10-02</t>
        </is>
      </c>
      <c r="F250" t="inlineStr">
        <is>
          <t>8-K 2026-05-14; FY26 guide raised to $1.422-1.428B</t>
        </is>
      </c>
    </row>
    <row r="251">
      <c r="A251" t="inlineStr">
        <is>
          <t>ws5_trends_competitors</t>
        </is>
      </c>
      <c r="B251" t="inlineStr">
        <is>
          <t>Figma Q2 2026 revenue / NDR / customers</t>
        </is>
      </c>
      <c r="C251" t="inlineStr">
        <is>
          <t>$370.1M (+48%) / 136% / 15,964 &gt;$10k (+34%) / 1,635 &gt;$100k (+46%)</t>
        </is>
      </c>
      <c r="D251" t="inlineStr">
        <is>
          <t>https://www.sec.gov/Archives/edgar/data/0001579878/000162828026053331/q226pressrelease.htm</t>
        </is>
      </c>
      <c r="E251" t="inlineStr">
        <is>
          <t>2026-10-02</t>
        </is>
      </c>
      <c r="F251" t="inlineStr">
        <is>
          <t>8-K 2026-08-05; FY26 guide raised $40M to $1.463-1.467B; also s206.q4cdn.com Figma-Q2-26-Press-Release.pdf</t>
        </is>
      </c>
    </row>
    <row r="252">
      <c r="A252" t="inlineStr">
        <is>
          <t>ws5_trends_competitors</t>
        </is>
      </c>
      <c r="B252" t="inlineStr">
        <is>
          <t>Canva ARR end-2023 and Sep-2024</t>
        </is>
      </c>
      <c r="C252" t="inlineStr">
        <is>
          <t>$1.7B and $2.55B</t>
        </is>
      </c>
      <c r="D252" t="inlineStr">
        <is>
          <t>https://sacra-pdfs.s3.us-east-2.amazonaws.com/canva-at-2-55b-arr.pdf</t>
        </is>
      </c>
      <c r="E252" t="inlineStr">
        <is>
          <t>2026-10-02</t>
        </is>
      </c>
      <c r="F252" t="inlineStr">
        <is>
          <t>ESTIMATE third-party (Sacra)</t>
        </is>
      </c>
    </row>
    <row r="253">
      <c r="A253" t="inlineStr">
        <is>
          <t>ws5_trends_competitors</t>
        </is>
      </c>
      <c r="B253" t="inlineStr">
        <is>
          <t>Canva ARR Canva Extend Sept 2024</t>
        </is>
      </c>
      <c r="C253" t="inlineStr">
        <is>
          <t>&gt;$2.3B</t>
        </is>
      </c>
      <c r="D253" t="inlineStr">
        <is>
          <t>https://aragonresearch.com/canva-extend-2024/</t>
        </is>
      </c>
      <c r="E253" t="inlineStr">
        <is>
          <t>2026-10-02</t>
        </is>
      </c>
      <c r="F253" t="inlineStr">
        <is>
          <t>secondary coverage of company statement</t>
        </is>
      </c>
    </row>
    <row r="254">
      <c r="A254" t="inlineStr">
        <is>
          <t>ws5_trends_competitors</t>
        </is>
      </c>
      <c r="B254" t="inlineStr">
        <is>
          <t>Canva ARR end-2025 growth</t>
        </is>
      </c>
      <c r="C254" t="inlineStr">
        <is>
          <t>$4B up 43% from $2.8B</t>
        </is>
      </c>
      <c r="D254" t="inlineStr">
        <is>
          <t>https://sacra.com/research/canva-at-4b-arr-growing-43-yoy/</t>
        </is>
      </c>
      <c r="E254" t="inlineStr">
        <is>
          <t>2026-10-02</t>
        </is>
      </c>
      <c r="F254" t="inlineStr">
        <is>
          <t>ESTIMATE third-party (Sacra); base conflicts with company's late-2024 statements</t>
        </is>
      </c>
    </row>
    <row r="255">
      <c r="A255" t="inlineStr">
        <is>
          <t>ws5_trends_competitors</t>
        </is>
      </c>
      <c r="B255" t="inlineStr">
        <is>
          <t>Canva $3B ARR and 230M MAU</t>
        </is>
      </c>
      <c r="C255" t="inlineStr">
        <is>
          <t>ARR surpassing $3B; 230M users</t>
        </is>
      </c>
      <c r="D255" t="inlineStr">
        <is>
          <t>https://www.canva.com/newsroom/news/cnbc-disruptor-50-2025/</t>
        </is>
      </c>
      <c r="E255" t="inlineStr">
        <is>
          <t>2026-10-02</t>
        </is>
      </c>
      <c r="F255" t="inlineStr">
        <is>
          <t>Canva newsroom (CNBC Disruptor 50 June 2025); page blocked here; also Fortune April 2025</t>
        </is>
      </c>
    </row>
    <row r="256">
      <c r="A256" t="inlineStr">
        <is>
          <t>ws5_trends_competitors</t>
        </is>
      </c>
      <c r="B256" t="inlineStr">
        <is>
          <t>Canva $3.3B annualized sales / $42B valuation / 240M MAU</t>
        </is>
      </c>
      <c r="C256" t="inlineStr">
        <is>
          <t>Aug 2025</t>
        </is>
      </c>
      <c r="D256" t="inlineStr">
        <is>
          <t>https://fortune.com/2025/08/22/canva-billionaire-founders-minting-overnight-millionaires-employee-share-sale</t>
        </is>
      </c>
      <c r="E256" t="inlineStr">
        <is>
          <t>2026-10-02</t>
        </is>
      </c>
      <c r="F256" t="inlineStr">
        <is>
          <t>employee secondary sale</t>
        </is>
      </c>
    </row>
    <row r="257">
      <c r="A257" t="inlineStr">
        <is>
          <t>ws5_trends_competitors</t>
        </is>
      </c>
      <c r="B257" t="inlineStr">
        <is>
          <t>Canva end-2025 MAU / paid / ARR</t>
        </is>
      </c>
      <c r="C257" t="inlineStr">
        <is>
          <t>265M / 31.2M / $4B</t>
        </is>
      </c>
      <c r="D257" t="inlineStr">
        <is>
          <t>https://musically.com/2026/02/19/canva-now-has-265m-monthly-active-users-and-31m-are-paying/</t>
        </is>
      </c>
      <c r="E257" t="inlineStr">
        <is>
          <t>2026-10-02</t>
        </is>
      </c>
      <c r="F257" t="inlineStr">
        <is>
          <t>figures given by Canva to Inc. Feb 2026; ~$500M ARR from &gt;25-seat business customers</t>
        </is>
      </c>
    </row>
    <row r="258">
      <c r="A258" t="inlineStr">
        <is>
          <t>ws5_trends_competitors</t>
        </is>
      </c>
      <c r="B258" t="inlineStr">
        <is>
          <t>Canva 2025 revenue</t>
        </is>
      </c>
      <c r="C258" t="inlineStr">
        <is>
          <t>$3.5B</t>
        </is>
      </c>
      <c r="D258" t="inlineStr">
        <is>
          <t>https://en.wikipedia.org/wiki/Canva</t>
        </is>
      </c>
      <c r="E258" t="inlineStr">
        <is>
          <t>2026-10-02</t>
        </is>
      </c>
      <c r="F258" t="inlineStr">
        <is>
          <t>secondary; basis unclear; page blocked here (snippet only)</t>
        </is>
      </c>
    </row>
    <row r="259">
      <c r="A259" t="inlineStr">
        <is>
          <t>ws5_trends_competitors</t>
        </is>
      </c>
      <c r="B259" t="inlineStr">
        <is>
          <t>Canva Q2 2026 revenue and growth-guide cut</t>
        </is>
      </c>
      <c r="C259" t="inlineStr">
        <is>
          <t>$921.9M (+25.2%); 2026 growth ~20% (from 30%)</t>
        </is>
      </c>
      <c r="D259" t="inlineStr">
        <is>
          <t>https://aiweekly.co/alerts/canva-cuts-revenue-growth-forecast-on-ai-cost-blowout</t>
        </is>
      </c>
      <c r="E259" t="inlineStr">
        <is>
          <t>2026-10-02</t>
        </is>
      </c>
      <c r="F259" t="inlineStr">
        <is>
          <t>Aug 2026; first reported by The Information; AI serving cost blowout; also cryptobriefing.com and orm-tech.com</t>
        </is>
      </c>
    </row>
    <row r="260">
      <c r="A260" t="inlineStr">
        <is>
          <t>ws5_trends_competitors</t>
        </is>
      </c>
      <c r="B260" t="inlineStr">
        <is>
          <t>Canva paid users Sep-2023 / Sep-2024; MAU Dec-2024</t>
        </is>
      </c>
      <c r="C260" t="inlineStr">
        <is>
          <t>16M / 21M; 220M</t>
        </is>
      </c>
      <c r="D260" t="inlineStr">
        <is>
          <t>https://backlinko.com/canva-users</t>
        </is>
      </c>
      <c r="E260" t="inlineStr">
        <is>
          <t>2026-10-02</t>
        </is>
      </c>
      <c r="F260" t="inlineStr">
        <is>
          <t>secondary statistics roundup</t>
        </is>
      </c>
    </row>
    <row r="261">
      <c r="A261" t="inlineStr">
        <is>
          <t>ws5_trends_competitors</t>
        </is>
      </c>
      <c r="B261" t="inlineStr">
        <is>
          <t>Midjourney revenue estimates 2023/2024/2025</t>
        </is>
      </c>
      <c r="C261" t="inlineStr">
        <is>
          <t>$200M / $300M / $500M</t>
        </is>
      </c>
      <c r="D261" t="inlineStr">
        <is>
          <t>https://sacra.com/c/midjourney/</t>
        </is>
      </c>
      <c r="E261" t="inlineStr">
        <is>
          <t>2026-10-02</t>
        </is>
      </c>
      <c r="F261" t="inlineStr">
        <is>
          <t>ESTIMATE third-party (Sacra; GetLatka similar)</t>
        </is>
      </c>
    </row>
    <row r="262">
      <c r="A262" t="inlineStr">
        <is>
          <t>ws5_trends_competitors</t>
        </is>
      </c>
      <c r="B262" t="inlineStr">
        <is>
          <t>Adobe FY2023 Digital Media / Creative / Document Cloud / total revenue</t>
        </is>
      </c>
      <c r="C262" t="inlineStr">
        <is>
          <t>$14.216B / $11.52B (+10%) / $2.70B (+13%) / $19.41B</t>
        </is>
      </c>
      <c r="D262" t="inlineStr">
        <is>
          <t>https://www.sec.gov/Archives/edgar/data/796343/000079634323000252/adbeex991q423.htm</t>
        </is>
      </c>
      <c r="E262" t="inlineStr">
        <is>
          <t>2026-10-02</t>
        </is>
      </c>
      <c r="F262" t="inlineStr">
        <is>
          <t>8-K 2023-12-13; retrieved via WebSearch snippet</t>
        </is>
      </c>
    </row>
    <row r="263">
      <c r="A263" t="inlineStr">
        <is>
          <t>ws5_trends_competitors</t>
        </is>
      </c>
      <c r="B263" t="inlineStr">
        <is>
          <t>Adobe FY2024 Digital Media / Document Cloud / total revenue</t>
        </is>
      </c>
      <c r="C263" t="inlineStr">
        <is>
          <t>$15.86B (+12%) / $3.18B (+18%) / $21.51B (+11%)</t>
        </is>
      </c>
      <c r="D263" t="inlineStr">
        <is>
          <t>https://www.sec.gov/Archives/edgar/data/796343/000079634324000250/adbeex991q424.htm</t>
        </is>
      </c>
      <c r="E263" t="inlineStr">
        <is>
          <t>2026-10-02</t>
        </is>
      </c>
      <c r="F263" t="inlineStr">
        <is>
          <t>8-K 2024-12-11; Q4 FY24 Creative $3.30B +10%; net new DM ARR $2.00B</t>
        </is>
      </c>
    </row>
    <row r="264">
      <c r="A264" t="inlineStr">
        <is>
          <t>ws5_trends_competitors</t>
        </is>
      </c>
      <c r="B264" t="inlineStr">
        <is>
          <t>Adobe FY2025 Digital Media / total revenue; Q4 FY25 customer groups</t>
        </is>
      </c>
      <c r="C264" t="inlineStr">
        <is>
          <t>$17.65B (+11%) / $23.77B (+11%); C&amp;MP $4.25B (+11%); BP&amp;C $1.7B (+15%)</t>
        </is>
      </c>
      <c r="D264" t="inlineStr">
        <is>
          <t>https://www.sec.gov/Archives/edgar/data/796343/000079634325000135/adbeex991q425.htm</t>
        </is>
      </c>
      <c r="E264" t="inlineStr">
        <is>
          <t>2026-10-02</t>
        </is>
      </c>
      <c r="F264" t="inlineStr">
        <is>
          <t>8-K 2025-12-10; DM ARR $19.20B +11.5%; FY26 revenue guide $25.9-26.1B; ARR growth target 10.2%</t>
        </is>
      </c>
    </row>
    <row r="265">
      <c r="A265" t="inlineStr">
        <is>
          <t>ws5_trends_competitors</t>
        </is>
      </c>
      <c r="B265" t="inlineStr">
        <is>
          <t>Adobe Q3 FY2026 C&amp;MP / BP&amp;C / total / ARR</t>
        </is>
      </c>
      <c r="C265" t="inlineStr">
        <is>
          <t>$4651M (+13%) / $1905M (+16%) / $6760M (+12.9%) / $27.50B (+11.2%)</t>
        </is>
      </c>
      <c r="D265" t="inlineStr">
        <is>
          <t>https://www.sec.gov/Archives/edgar/data/0000796343/000079634326000156/adbe-20260828.htm</t>
        </is>
      </c>
      <c r="E265" t="inlineStr">
        <is>
          <t>2026-10-02</t>
        </is>
      </c>
      <c r="F265" t="inlineStr">
        <is>
          <t>orchestrator starting facts (10-Q Q3 FY26); verified via WebSearch (C&amp;MP $4.65B +12%; BP&amp;C $1.91B +15%); FY26 guides C&amp;MP $18.242-18.272B BP&amp;C $7.47-7.49B</t>
        </is>
      </c>
    </row>
    <row r="266">
      <c r="A266" t="inlineStr">
        <is>
          <t>ws5_trends_competitors</t>
        </is>
      </c>
      <c r="B266" t="inlineStr">
        <is>
          <t>Adobe TAM $205B (2024) to $293B (2027); Creative Cloud $91B</t>
        </is>
      </c>
      <c r="C266" t="inlineStr">
        <is>
          <t>13% CAGR</t>
        </is>
      </c>
      <c r="D266" t="inlineStr">
        <is>
          <t>https://futurumgroup.com/insights/adobe-summit-2024</t>
        </is>
      </c>
      <c r="E266" t="inlineStr">
        <is>
          <t>2026-10-02</t>
        </is>
      </c>
      <c r="F266" t="inlineStr">
        <is>
          <t>ESTIMATE company-cited at Investor Meeting Adobe Summit 2024-03-26 (notice: businesswire.com/news/home/20240304544440/en); DC $47B; Experience Cloud $155B</t>
        </is>
      </c>
    </row>
    <row r="267">
      <c r="A267" t="inlineStr">
        <is>
          <t>ws6_channel_checks</t>
        </is>
      </c>
      <c r="B267" t="inlineStr">
        <is>
          <t>Creative Cloud Pro NA price increase June 2025</t>
        </is>
      </c>
      <c r="C267" t="inlineStr">
        <is>
          <t>$59.99 to $69.99 per month</t>
        </is>
      </c>
      <c r="D267" t="inlineStr">
        <is>
          <t>https://helpx.adobe.com/creative-cloud/kb/creative-cloud-pro-plan-pricing-update.html</t>
        </is>
      </c>
      <c r="E267" t="inlineStr">
        <is>
          <t>2026-10-02</t>
        </is>
      </c>
      <c r="F267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2026-10-02T18:38:06Z</dcterms:created>
  <dcterms:modified xmlns:dcterms="http://purl.org/dc/terms/" xmlns:xsi="http://www.w3.org/2001/XMLSchema-instance" xsi:type="dcterms:W3CDTF">2026-10-02T18:38:06Z</dcterms:modified>
</cp:coreProperties>
</file>