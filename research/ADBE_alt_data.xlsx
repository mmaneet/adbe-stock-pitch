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PriceVolume" sheetId="2" state="visible" r:id="rId2"/>
    <sheet xmlns:r="http://schemas.openxmlformats.org/officeDocument/2006/relationships" name="SeatCompression" sheetId="3" state="visible" r:id="rId3"/>
    <sheet xmlns:r="http://schemas.openxmlformats.org/officeDocument/2006/relationships" name="TaskExposure" sheetId="4" state="visible" r:id="rId4"/>
    <sheet xmlns:r="http://schemas.openxmlformats.org/officeDocument/2006/relationships" name="CallNLP" sheetId="5" state="visible" r:id="rId5"/>
    <sheet xmlns:r="http://schemas.openxmlformats.org/officeDocument/2006/relationships" name="Trends_Competitors" sheetId="6" state="visible" r:id="rId6"/>
    <sheet xmlns:r="http://schemas.openxmlformats.org/officeDocument/2006/relationships" name="Triangulation" sheetId="7" state="visible" r:id="rId7"/>
    <sheet xmlns:r="http://schemas.openxmlformats.org/officeDocument/2006/relationships" name="EPS_bridge" sheetId="8" state="visible" r:id="rId8"/>
    <sheet xmlns:r="http://schemas.openxmlformats.org/officeDocument/2006/relationships" name="Sour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0.000"/>
  </numFmts>
  <fonts count="5">
    <font>
      <name val="Calibri"/>
      <family val="2"/>
      <color theme="1"/>
      <sz val="11"/>
      <scheme val="minor"/>
    </font>
    <font>
      <b val="1"/>
    </font>
    <font>
      <i val="1"/>
      <color rgb="007F8C8D"/>
    </font>
    <font>
      <color rgb="000000FF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DDE4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3" fillId="0" borderId="0" pivotButton="0" quotePrefix="0" xfId="0"/>
    <xf numFmtId="10" fontId="3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cols>
    <col width="60" customWidth="1" min="1" max="1"/>
    <col width="50" customWidth="1" min="2" max="2"/>
    <col width="10" customWidth="1" min="3" max="3"/>
    <col width="60" customWidth="1" min="4" max="4"/>
    <col width="60" customWidth="1" min="5" max="5"/>
  </cols>
  <sheetData>
    <row r="1">
      <c r="A1" s="1" t="inlineStr">
        <is>
          <t>ADBE alt-data workbook - Inputs (blue = hardcoded sourced input; black = formula)</t>
        </is>
      </c>
    </row>
    <row r="2">
      <c r="A2" s="2" t="inlineStr">
        <is>
          <t>Built 2026-10-02. All inputs trace to Sources tab. Numbers retrieved via web-search snippets where the primary page was not fetchable; see notes.</t>
        </is>
      </c>
    </row>
    <row r="3"/>
    <row r="4">
      <c r="A4" s="3" t="inlineStr">
        <is>
          <t>Input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Source</t>
        </is>
      </c>
      <c r="E4" s="3" t="inlineStr">
        <is>
          <t>URL</t>
        </is>
      </c>
    </row>
    <row r="5">
      <c r="A5" t="inlineStr">
        <is>
          <t>Share price (close 2026-10-01)</t>
        </is>
      </c>
      <c r="B5" s="4" t="n">
        <v>241.28</v>
      </c>
      <c r="C5" t="inlineStr">
        <is>
          <t>USD</t>
        </is>
      </c>
      <c r="D5" t="inlineStr">
        <is>
          <t>Market data via web search (confirmed 2026-10-02)</t>
        </is>
      </c>
      <c r="E5" t="inlineStr">
        <is>
          <t>https://www.google.com/finance/quote/ADBE:NASDAQ</t>
        </is>
      </c>
    </row>
    <row r="6">
      <c r="A6" t="inlineStr">
        <is>
          <t>Shares outstanding (10-Q cover, 2026-09-18)</t>
        </is>
      </c>
      <c r="B6" s="4" t="n">
        <v>389.2</v>
      </c>
      <c r="C6" t="inlineStr">
        <is>
          <t>M</t>
        </is>
      </c>
      <c r="D6" t="inlineStr">
        <is>
          <t>Adobe 10-Q Q3 FY26 cover page</t>
        </is>
      </c>
      <c r="E6" t="inlineStr">
        <is>
          <t>https://www.sec.gov/Archives/edgar/data/0000796343/000079634326000156/adbe-20260828.htm</t>
        </is>
      </c>
    </row>
    <row r="7">
      <c r="A7" t="inlineStr">
        <is>
          <t>Q3 FY26 total revenue</t>
        </is>
      </c>
      <c r="B7" s="4" t="n">
        <v>6760</v>
      </c>
      <c r="C7" t="inlineStr">
        <is>
          <t>USD M</t>
        </is>
      </c>
      <c r="D7" t="inlineStr">
        <is>
          <t>Adobe Q3 FY26 press release (8-K Ex.99.1), 2026-09-10</t>
        </is>
      </c>
      <c r="E7" t="inlineStr">
        <is>
          <t>https://www.sec.gov/Archives/edgar/data/0000796343/000079634326000147/adbeex991q326.htm</t>
        </is>
      </c>
    </row>
    <row r="8">
      <c r="A8" t="inlineStr">
        <is>
          <t>Q3 FY26 C&amp;MP subscription revenue</t>
        </is>
      </c>
      <c r="B8" s="4" t="n">
        <v>4651</v>
      </c>
      <c r="C8" t="inlineStr">
        <is>
          <t>USD M</t>
        </is>
      </c>
      <c r="D8" t="inlineStr">
        <is>
          <t>Adobe Q3 FY26 press release / 10-Q</t>
        </is>
      </c>
      <c r="E8" t="inlineStr">
        <is>
          <t>https://www.sec.gov/Archives/edgar/data/0000796343/000079634326000147/adbeex991q326.htm</t>
        </is>
      </c>
    </row>
    <row r="9">
      <c r="A9" t="inlineStr">
        <is>
          <t>Q3 FY25 C&amp;MP subscription revenue (recast)</t>
        </is>
      </c>
      <c r="B9" s="4" t="n">
        <v>4117</v>
      </c>
      <c r="C9" t="inlineStr">
        <is>
          <t>USD M</t>
        </is>
      </c>
      <c r="D9" t="inlineStr">
        <is>
          <t>Adobe Q3 FY26 10-Q</t>
        </is>
      </c>
      <c r="E9" t="inlineStr">
        <is>
          <t>https://www.sec.gov/Archives/edgar/data/0000796343/000079634326000156/adbe-20260828.htm</t>
        </is>
      </c>
    </row>
    <row r="10">
      <c r="A10" t="inlineStr">
        <is>
          <t>Q3 FY26 BP&amp;C subscription revenue</t>
        </is>
      </c>
      <c r="B10" s="4" t="n">
        <v>1905</v>
      </c>
      <c r="C10" t="inlineStr">
        <is>
          <t>USD M</t>
        </is>
      </c>
      <c r="D10" t="inlineStr">
        <is>
          <t>Adobe Q3 FY26 press release / 10-Q</t>
        </is>
      </c>
      <c r="E10" t="inlineStr">
        <is>
          <t>https://www.sec.gov/Archives/edgar/data/0000796343/000079634326000147/adbeex991q326.htm</t>
        </is>
      </c>
    </row>
    <row r="11">
      <c r="A11" t="inlineStr">
        <is>
          <t>Q3 FY25 BP&amp;C subscription revenue (recast)</t>
        </is>
      </c>
      <c r="B11" s="4" t="n">
        <v>1648</v>
      </c>
      <c r="C11" t="inlineStr">
        <is>
          <t>USD M</t>
        </is>
      </c>
      <c r="D11" t="inlineStr">
        <is>
          <t>Adobe Q3 FY26 10-Q</t>
        </is>
      </c>
      <c r="E11" t="inlineStr">
        <is>
          <t>https://www.sec.gov/Archives/edgar/data/0000796343/000079634326000156/adbe-20260828.htm</t>
        </is>
      </c>
    </row>
    <row r="12">
      <c r="A12" t="inlineStr">
        <is>
          <t>9M FY26 C&amp;MP subscription revenue</t>
        </is>
      </c>
      <c r="B12" s="4" t="n">
        <v>13577</v>
      </c>
      <c r="C12" t="inlineStr">
        <is>
          <t>USD M</t>
        </is>
      </c>
      <c r="D12" t="inlineStr">
        <is>
          <t>Adobe Q3 FY26 10-Q</t>
        </is>
      </c>
      <c r="E12" t="inlineStr">
        <is>
          <t>https://www.sec.gov/Archives/edgar/data/0000796343/000079634326000156/adbe-20260828.htm</t>
        </is>
      </c>
    </row>
    <row r="13">
      <c r="A13" t="inlineStr">
        <is>
          <t>9M FY25 C&amp;MP subscription revenue (recast)</t>
        </is>
      </c>
      <c r="B13" s="4" t="n">
        <v>12058</v>
      </c>
      <c r="C13" t="inlineStr">
        <is>
          <t>USD M</t>
        </is>
      </c>
      <c r="D13" t="inlineStr">
        <is>
          <t>Adobe Q3 FY26 10-Q</t>
        </is>
      </c>
      <c r="E13" t="inlineStr">
        <is>
          <t>https://www.sec.gov/Archives/edgar/data/0000796343/000079634326000156/adbe-20260828.htm</t>
        </is>
      </c>
    </row>
    <row r="14">
      <c r="A14" t="inlineStr">
        <is>
          <t>9M FY26 BP&amp;C subscription revenue</t>
        </is>
      </c>
      <c r="B14" s="4" t="n">
        <v>5540</v>
      </c>
      <c r="C14" t="inlineStr">
        <is>
          <t>USD M</t>
        </is>
      </c>
      <c r="D14" t="inlineStr">
        <is>
          <t>Adobe Q3 FY26 10-Q</t>
        </is>
      </c>
      <c r="E14" t="inlineStr">
        <is>
          <t>https://www.sec.gov/Archives/edgar/data/0000796343/000079634326000156/adbe-20260828.htm</t>
        </is>
      </c>
    </row>
    <row r="15">
      <c r="A15" t="inlineStr">
        <is>
          <t>9M FY25 BP&amp;C subscription revenue (recast)</t>
        </is>
      </c>
      <c r="B15" s="4" t="n">
        <v>4777</v>
      </c>
      <c r="C15" t="inlineStr">
        <is>
          <t>USD M</t>
        </is>
      </c>
      <c r="D15" t="inlineStr">
        <is>
          <t>Adobe Q3 FY26 10-Q</t>
        </is>
      </c>
      <c r="E15" t="inlineStr">
        <is>
          <t>https://www.sec.gov/Archives/edgar/data/0000796343/000079634326000156/adbe-20260828.htm</t>
        </is>
      </c>
    </row>
    <row r="16">
      <c r="A16" t="inlineStr">
        <is>
          <t>FY26 revenue guidance low</t>
        </is>
      </c>
      <c r="B16" s="4" t="n">
        <v>26576</v>
      </c>
      <c r="C16" t="inlineStr">
        <is>
          <t>USD M</t>
        </is>
      </c>
      <c r="D16" t="inlineStr">
        <is>
          <t>Adobe Q3 FY26 press release targets</t>
        </is>
      </c>
      <c r="E16" t="inlineStr">
        <is>
          <t>https://www.sec.gov/Archives/edgar/data/0000796343/000079634326000147/adbeex991q326.htm</t>
        </is>
      </c>
    </row>
    <row r="17">
      <c r="A17" t="inlineStr">
        <is>
          <t>FY26 revenue guidance high</t>
        </is>
      </c>
      <c r="B17" s="4" t="n">
        <v>26626</v>
      </c>
      <c r="C17" t="inlineStr">
        <is>
          <t>USD M</t>
        </is>
      </c>
      <c r="D17" t="inlineStr">
        <is>
          <t>Adobe Q3 FY26 press release targets</t>
        </is>
      </c>
      <c r="E17" t="inlineStr">
        <is>
          <t>https://www.sec.gov/Archives/edgar/data/0000796343/000079634326000147/adbeex991q326.htm</t>
        </is>
      </c>
    </row>
    <row r="18">
      <c r="A18" t="inlineStr">
        <is>
          <t>FY26 C&amp;MP guidance low</t>
        </is>
      </c>
      <c r="B18" s="4" t="n">
        <v>18242</v>
      </c>
      <c r="C18" t="inlineStr">
        <is>
          <t>USD M</t>
        </is>
      </c>
      <c r="D18" t="inlineStr">
        <is>
          <t>Adobe Q3 FY26 press release targets</t>
        </is>
      </c>
      <c r="E18" t="inlineStr">
        <is>
          <t>https://www.sec.gov/Archives/edgar/data/0000796343/000079634326000147/adbeex991q326.htm</t>
        </is>
      </c>
    </row>
    <row r="19">
      <c r="A19" t="inlineStr">
        <is>
          <t>FY26 C&amp;MP guidance high</t>
        </is>
      </c>
      <c r="B19" s="4" t="n">
        <v>18272</v>
      </c>
      <c r="C19" t="inlineStr">
        <is>
          <t>USD M</t>
        </is>
      </c>
      <c r="D19" t="inlineStr">
        <is>
          <t>Adobe Q3 FY26 press release targets</t>
        </is>
      </c>
      <c r="E19" t="inlineStr">
        <is>
          <t>https://www.sec.gov/Archives/edgar/data/0000796343/000079634326000147/adbeex991q326.htm</t>
        </is>
      </c>
    </row>
    <row r="20">
      <c r="A20" t="inlineStr">
        <is>
          <t>FY26 BP&amp;C guidance low</t>
        </is>
      </c>
      <c r="B20" s="4" t="n">
        <v>7470</v>
      </c>
      <c r="C20" t="inlineStr">
        <is>
          <t>USD M</t>
        </is>
      </c>
      <c r="D20" t="inlineStr">
        <is>
          <t>Adobe Q3 FY26 press release targets</t>
        </is>
      </c>
      <c r="E20" t="inlineStr">
        <is>
          <t>https://www.sec.gov/Archives/edgar/data/0000796343/000079634326000147/adbeex991q326.htm</t>
        </is>
      </c>
    </row>
    <row r="21">
      <c r="A21" t="inlineStr">
        <is>
          <t>FY26 BP&amp;C guidance high</t>
        </is>
      </c>
      <c r="B21" s="4" t="n">
        <v>7490</v>
      </c>
      <c r="C21" t="inlineStr">
        <is>
          <t>USD M</t>
        </is>
      </c>
      <c r="D21" t="inlineStr">
        <is>
          <t>Adobe Q3 FY26 press release targets</t>
        </is>
      </c>
      <c r="E21" t="inlineStr">
        <is>
          <t>https://www.sec.gov/Archives/edgar/data/0000796343/000079634326000147/adbeex991q326.htm</t>
        </is>
      </c>
    </row>
    <row r="22">
      <c r="A22" t="inlineStr">
        <is>
          <t>FY26 non-GAAP EPS guidance low</t>
        </is>
      </c>
      <c r="B22" s="4" t="n">
        <v>24.45</v>
      </c>
      <c r="C22" t="inlineStr">
        <is>
          <t>USD</t>
        </is>
      </c>
      <c r="D22" t="inlineStr">
        <is>
          <t>Adobe Q3 FY26 press release targets</t>
        </is>
      </c>
      <c r="E22" t="inlineStr">
        <is>
          <t>https://www.sec.gov/Archives/edgar/data/0000796343/000079634326000147/adbeex991q326.htm</t>
        </is>
      </c>
    </row>
    <row r="23">
      <c r="A23" t="inlineStr">
        <is>
          <t>FY26 non-GAAP EPS guidance high</t>
        </is>
      </c>
      <c r="B23" s="4" t="n">
        <v>24.5</v>
      </c>
      <c r="C23" t="inlineStr">
        <is>
          <t>USD</t>
        </is>
      </c>
      <c r="D23" t="inlineStr">
        <is>
          <t>Adobe Q3 FY26 press release targets</t>
        </is>
      </c>
      <c r="E23" t="inlineStr">
        <is>
          <t>https://www.sec.gov/Archives/edgar/data/0000796343/000079634326000147/adbeex991q326.htm</t>
        </is>
      </c>
    </row>
    <row r="24">
      <c r="A24" t="inlineStr">
        <is>
          <t>FY26 ending ARR growth guidance</t>
        </is>
      </c>
      <c r="B24" s="4" t="n">
        <v>0.102</v>
      </c>
      <c r="C24" t="inlineStr">
        <is>
          <t>ratio</t>
        </is>
      </c>
      <c r="D24" t="inlineStr">
        <is>
          <t>Adobe Q3 FY26 press release targets</t>
        </is>
      </c>
      <c r="E24" t="inlineStr">
        <is>
          <t>https://www.sec.gov/Archives/edgar/data/0000796343/000079634326000147/adbeex991q326.htm</t>
        </is>
      </c>
    </row>
    <row r="25">
      <c r="A25" t="inlineStr">
        <is>
          <t>Beginning FY26 ARR book</t>
        </is>
      </c>
      <c r="B25" s="4" t="n">
        <v>25660</v>
      </c>
      <c r="C25" t="inlineStr">
        <is>
          <t>USD M</t>
        </is>
      </c>
      <c r="D25" t="inlineStr">
        <is>
          <t>Adobe Q4 FY25 press release / FY26 targets</t>
        </is>
      </c>
      <c r="E25" t="inlineStr">
        <is>
          <t>https://www.sec.gov/Archives/edgar/data/0000796343/000079634326000147/adbeex991q326.htm</t>
        </is>
      </c>
    </row>
    <row r="26">
      <c r="A26" t="inlineStr">
        <is>
          <t>Q3 FY26 ending ARR</t>
        </is>
      </c>
      <c r="B26" s="4" t="n">
        <v>27500</v>
      </c>
      <c r="C26" t="inlineStr">
        <is>
          <t>USD M</t>
        </is>
      </c>
      <c r="D26" t="inlineStr">
        <is>
          <t>Adobe Q3 FY26 press release</t>
        </is>
      </c>
      <c r="E26" t="inlineStr">
        <is>
          <t>https://www.sec.gov/Archives/edgar/data/0000796343/000079634326000147/adbeex991q326.htm</t>
        </is>
      </c>
    </row>
    <row r="27">
      <c r="A27" t="inlineStr">
        <is>
          <t>Q3 FY26 ending ARR YoY growth</t>
        </is>
      </c>
      <c r="B27" s="4" t="n">
        <v>0.112</v>
      </c>
      <c r="C27" t="inlineStr">
        <is>
          <t>ratio</t>
        </is>
      </c>
      <c r="D27" t="inlineStr">
        <is>
          <t>Adobe Q3 FY26 press release</t>
        </is>
      </c>
      <c r="E27" t="inlineStr">
        <is>
          <t>https://www.sec.gov/Archives/edgar/data/0000796343/000079634326000147/adbeex991q326.htm</t>
        </is>
      </c>
    </row>
    <row r="28">
      <c r="A28" t="inlineStr">
        <is>
          <t>AI-first ARR (Q3 FY26, &gt;$650M)</t>
        </is>
      </c>
      <c r="B28" s="4" t="n">
        <v>650</v>
      </c>
      <c r="C28" t="inlineStr">
        <is>
          <t>USD M</t>
        </is>
      </c>
      <c r="D28" t="inlineStr">
        <is>
          <t>Adobe Q3 FY26 press release (floor)</t>
        </is>
      </c>
      <c r="E28" t="inlineStr">
        <is>
          <t>https://www.sec.gov/Archives/edgar/data/0000796343/000079634326000147/adbeex991q326.htm</t>
        </is>
      </c>
    </row>
    <row r="29">
      <c r="A29" t="inlineStr">
        <is>
          <t>FY25 Digital Experience subscription revenue</t>
        </is>
      </c>
      <c r="B29" s="4" t="n">
        <v>5410</v>
      </c>
      <c r="C29" t="inlineStr">
        <is>
          <t>USD M</t>
        </is>
      </c>
      <c r="D29" t="inlineStr">
        <is>
          <t>Adobe 2026 proxy statement</t>
        </is>
      </c>
      <c r="E29" t="inlineStr">
        <is>
          <t>https://www.sec.gov/cgi-bin/browse-edgar?action=getcompany&amp;CIK=0000796343&amp;type=DEF+14A</t>
        </is>
      </c>
    </row>
    <row r="30">
      <c r="A30" t="inlineStr">
        <is>
          <t>Semrush acquisition price</t>
        </is>
      </c>
      <c r="B30" s="4" t="n">
        <v>1870</v>
      </c>
      <c r="C30" t="inlineStr">
        <is>
          <t>USD M</t>
        </is>
      </c>
      <c r="D30" t="inlineStr">
        <is>
          <t>Adobe 10-Q Q3 FY26 (closed 2026-04-28)</t>
        </is>
      </c>
      <c r="E30" t="inlineStr">
        <is>
          <t>https://www.sec.gov/Archives/edgar/data/0000796343/000079634326000156/adbe-20260828.htm</t>
        </is>
      </c>
    </row>
    <row r="31">
      <c r="A31" t="inlineStr">
        <is>
          <t>9M FY26 operating cash flow</t>
        </is>
      </c>
      <c r="B31" s="4" t="n">
        <v>7646</v>
      </c>
      <c r="C31" t="inlineStr">
        <is>
          <t>USD M</t>
        </is>
      </c>
      <c r="D31" t="inlineStr">
        <is>
          <t>Adobe 10-Q Q3 FY26 cash flow statement</t>
        </is>
      </c>
      <c r="E31" t="inlineStr">
        <is>
          <t>https://www.sec.gov/Archives/edgar/data/0000796343/000079634326000156/adbe-20260828.htm</t>
        </is>
      </c>
    </row>
    <row r="32">
      <c r="A32" t="inlineStr">
        <is>
          <t>9M FY26 capex</t>
        </is>
      </c>
      <c r="B32" s="4" t="n">
        <v>180</v>
      </c>
      <c r="C32" t="inlineStr">
        <is>
          <t>USD M</t>
        </is>
      </c>
      <c r="D32" t="inlineStr">
        <is>
          <t>Adobe 10-Q Q3 FY26 cash flow statement</t>
        </is>
      </c>
      <c r="E32" t="inlineStr">
        <is>
          <t>https://www.sec.gov/Archives/edgar/data/0000796343/000079634326000156/adbe-20260828.htm</t>
        </is>
      </c>
    </row>
    <row r="33">
      <c r="A33" t="inlineStr">
        <is>
          <t>9M FY26 stock-based compensation</t>
        </is>
      </c>
      <c r="B33" s="4" t="n">
        <v>1582</v>
      </c>
      <c r="C33" t="inlineStr">
        <is>
          <t>USD M</t>
        </is>
      </c>
      <c r="D33" t="inlineStr">
        <is>
          <t>Adobe 10-Q Q3 FY26 cash flow statement</t>
        </is>
      </c>
      <c r="E33" t="inlineStr">
        <is>
          <t>https://www.sec.gov/Archives/edgar/data/0000796343/000079634326000156/adbe-20260828.htm</t>
        </is>
      </c>
    </row>
    <row r="34">
      <c r="A34" t="inlineStr">
        <is>
          <t>9M FY26 buybacks</t>
        </is>
      </c>
      <c r="B34" s="4" t="n">
        <v>6880</v>
      </c>
      <c r="C34" t="inlineStr">
        <is>
          <t>USD M</t>
        </is>
      </c>
      <c r="D34" t="inlineStr">
        <is>
          <t>Adobe 10-Q Q3 FY26 cash flow statement</t>
        </is>
      </c>
      <c r="E34" t="inlineStr">
        <is>
          <t>https://www.sec.gov/Archives/edgar/data/0000796343/000079634326000156/adbe-20260828.htm</t>
        </is>
      </c>
    </row>
    <row r="35">
      <c r="A35" t="inlineStr">
        <is>
          <t>Total debt (current + long-term)</t>
        </is>
      </c>
      <c r="B35" s="4" t="n">
        <v>6363</v>
      </c>
      <c r="C35" t="inlineStr">
        <is>
          <t>USD M</t>
        </is>
      </c>
      <c r="D35" t="inlineStr">
        <is>
          <t>Adobe 10-Q Q3 FY26 balance sheet</t>
        </is>
      </c>
      <c r="E35" t="inlineStr">
        <is>
          <t>https://www.sec.gov/Archives/edgar/data/0000796343/000079634326000156/adbe-20260828.htm</t>
        </is>
      </c>
    </row>
    <row r="36">
      <c r="A36" t="inlineStr">
        <is>
          <t>Cash + short-term investments</t>
        </is>
      </c>
      <c r="B36" s="4" t="n">
        <v>5639</v>
      </c>
      <c r="C36" t="inlineStr">
        <is>
          <t>USD M</t>
        </is>
      </c>
      <c r="D36" t="inlineStr">
        <is>
          <t>Adobe 10-Q Q3 FY26 balance sheet</t>
        </is>
      </c>
      <c r="E36" t="inlineStr">
        <is>
          <t>https://www.sec.gov/Archives/edgar/data/0000796343/000079634326000156/adbe-20260828.htm</t>
        </is>
      </c>
    </row>
    <row r="37">
      <c r="A37" t="inlineStr">
        <is>
          <t>CC All Apps -&gt; CC Pro NA monthly price, old</t>
        </is>
      </c>
      <c r="B37" s="4" t="n">
        <v>59.99</v>
      </c>
      <c r="C37" t="inlineStr">
        <is>
          <t>USD/mo</t>
        </is>
      </c>
      <c r="D37" t="inlineStr">
        <is>
          <t>Adobe help: Creative Cloud Pro pricing update (effective 2025-06-17)</t>
        </is>
      </c>
      <c r="E37" t="inlineStr">
        <is>
          <t>https://helpx.adobe.com/creative-cloud/kb/creative-cloud-pro-plan-pricing-update.html</t>
        </is>
      </c>
    </row>
    <row r="38">
      <c r="A38" t="inlineStr">
        <is>
          <t>CC All Apps -&gt; CC Pro NA monthly price, new</t>
        </is>
      </c>
      <c r="B38" s="4" t="n">
        <v>69.98999999999999</v>
      </c>
      <c r="C38" t="inlineStr">
        <is>
          <t>USD/mo</t>
        </is>
      </c>
      <c r="D38" t="inlineStr">
        <is>
          <t>Adobe help: Creative Cloud Pro pricing update (effective 2025-06-17)</t>
        </is>
      </c>
      <c r="E38" t="inlineStr">
        <is>
          <t>https://helpx.adobe.com/creative-cloud/kb/creative-cloud-pro-plan-pricing-update.html</t>
        </is>
      </c>
    </row>
    <row r="39">
      <c r="A39" t="inlineStr">
        <is>
          <t>Last disclosed CC subscribers (FY2018)</t>
        </is>
      </c>
      <c r="B39" s="4" t="n">
        <v>17</v>
      </c>
      <c r="C39" t="inlineStr">
        <is>
          <t>M</t>
        </is>
      </c>
      <c r="D39" t="inlineStr">
        <is>
          <t>Adobe FY2018 disclosure</t>
        </is>
      </c>
      <c r="E39" t="inlineStr">
        <is>
          <t>https://www.sec.gov/cgi-bin/browse-edgar?action=getcompany&amp;CIK=0000796343&amp;type=10-K</t>
        </is>
      </c>
    </row>
    <row r="40">
      <c r="A40" t="inlineStr">
        <is>
          <t>Q3 FY26 RPO</t>
        </is>
      </c>
      <c r="B40" s="4" t="n">
        <v>22160</v>
      </c>
      <c r="C40" t="inlineStr">
        <is>
          <t>USD M</t>
        </is>
      </c>
      <c r="D40" t="inlineStr">
        <is>
          <t>Adobe Q3 FY26 press release (8-K Ex.99.1), verified from sec.gov 2026-10-02</t>
        </is>
      </c>
      <c r="E40" t="inlineStr">
        <is>
          <t>https://www.sec.gov/Archives/edgar/data/796343/000079634326000147/adbeex991q326.htm</t>
        </is>
      </c>
    </row>
    <row r="41">
      <c r="A41" t="inlineStr">
        <is>
          <t>Q3 FY26 cRPO share of RPO</t>
        </is>
      </c>
      <c r="B41" s="4" t="n">
        <v>0.67</v>
      </c>
      <c r="C41" t="inlineStr">
        <is>
          <t>ratio</t>
        </is>
      </c>
      <c r="D41" t="inlineStr">
        <is>
          <t>Adobe Q3 FY26 press release, verified from sec.gov 2026-10-02</t>
        </is>
      </c>
      <c r="E41" t="inlineStr">
        <is>
          <t>https://www.sec.gov/Archives/edgar/data/796343/000079634326000147/adbeex991q326.htm</t>
        </is>
      </c>
    </row>
    <row r="42">
      <c r="A42" t="inlineStr">
        <is>
          <t>Q3 FY26 non-GAAP operating income</t>
        </is>
      </c>
      <c r="B42" s="4" t="n">
        <v>2970</v>
      </c>
      <c r="C42" t="inlineStr">
        <is>
          <t>USD M</t>
        </is>
      </c>
      <c r="D42" t="inlineStr">
        <is>
          <t>Adobe Q3 FY26 press release, verified from sec.gov 2026-10-02</t>
        </is>
      </c>
      <c r="E42" t="inlineStr">
        <is>
          <t>https://www.sec.gov/Archives/edgar/data/796343/000079634326000147/adbeex991q326.htm</t>
        </is>
      </c>
    </row>
    <row r="43">
      <c r="A43" t="inlineStr">
        <is>
          <t>Q3 FY26 operating cash flow</t>
        </is>
      </c>
      <c r="B43" s="4" t="n">
        <v>2520</v>
      </c>
      <c r="C43" t="inlineStr">
        <is>
          <t>USD M</t>
        </is>
      </c>
      <c r="D43" t="inlineStr">
        <is>
          <t>Adobe Q3 FY26 press release, verified from sec.gov 2026-10-02</t>
        </is>
      </c>
      <c r="E43" t="inlineStr">
        <is>
          <t>https://www.sec.gov/Archives/edgar/data/796343/000079634326000147/adbeex991q326.htm</t>
        </is>
      </c>
    </row>
    <row r="44">
      <c r="A44" t="inlineStr">
        <is>
          <t>FY26 target non-GAAP operating margin</t>
        </is>
      </c>
      <c r="B44" s="4" t="n">
        <v>0.45</v>
      </c>
      <c r="C44" t="inlineStr">
        <is>
          <t>ratio</t>
        </is>
      </c>
      <c r="D44" t="inlineStr">
        <is>
          <t>Adobe Q3 FY26 press release FY2026 targets footnote, verified 2026-10-02</t>
        </is>
      </c>
      <c r="E44" t="inlineStr">
        <is>
          <t>https://www.sec.gov/Archives/edgar/data/796343/000079634326000147/adbeex991q326.htm</t>
        </is>
      </c>
    </row>
    <row r="45">
      <c r="A45" t="inlineStr">
        <is>
          <t>FY26 target non-GAAP tax rate</t>
        </is>
      </c>
      <c r="B45" s="4" t="n">
        <v>0.18</v>
      </c>
      <c r="C45" t="inlineStr">
        <is>
          <t>ratio</t>
        </is>
      </c>
      <c r="D45" t="inlineStr">
        <is>
          <t>Adobe Q3 FY26 press release FY2026 targets footnote, verified 2026-10-02</t>
        </is>
      </c>
      <c r="E45" t="inlineStr">
        <is>
          <t>https://www.sec.gov/Archives/edgar/data/796343/000079634326000147/adbeex991q326.htm</t>
        </is>
      </c>
    </row>
    <row r="46">
      <c r="A46" t="inlineStr">
        <is>
          <t>Q4 FY26 target diluted share count</t>
        </is>
      </c>
      <c r="B46" s="4" t="n">
        <v>389</v>
      </c>
      <c r="C46" t="inlineStr">
        <is>
          <t>M</t>
        </is>
      </c>
      <c r="D46" t="inlineStr">
        <is>
          <t>Adobe Q3 FY26 press release Q4 targets footnote, verified 2026-10-02</t>
        </is>
      </c>
      <c r="E46" t="inlineStr">
        <is>
          <t>https://www.sec.gov/Archives/edgar/data/796343/000079634326000147/adbeex991q326.htm</t>
        </is>
      </c>
    </row>
    <row r="47">
      <c r="A47" t="inlineStr">
        <is>
          <t>Q3 FY26 shares repurchased</t>
        </is>
      </c>
      <c r="B47" s="4" t="n">
        <v>9.5</v>
      </c>
      <c r="C47" t="inlineStr">
        <is>
          <t>M</t>
        </is>
      </c>
      <c r="D47" t="inlineStr">
        <is>
          <t>Adobe Q3 FY26 press release, verified 2026-10-02</t>
        </is>
      </c>
      <c r="E47" t="inlineStr">
        <is>
          <t>https://www.sec.gov/Archives/edgar/data/796343/000079634326000147/adbeex991q326.htm</t>
        </is>
      </c>
    </row>
    <row r="48"/>
    <row r="49">
      <c r="A49" s="1" t="inlineStr">
        <is>
          <t>Derived (formulas)</t>
        </is>
      </c>
    </row>
    <row r="50">
      <c r="A50" t="inlineStr">
        <is>
          <t>Market cap (USD M)</t>
        </is>
      </c>
      <c r="B50" s="5">
        <f>Inputs!$B$5*Inputs!$B$6</f>
        <v/>
      </c>
    </row>
    <row r="51">
      <c r="A51" t="inlineStr">
        <is>
          <t>Net debt (USD M)</t>
        </is>
      </c>
      <c r="B51" s="5">
        <f>Inputs!$B$35-Inputs!$B$36</f>
        <v/>
      </c>
    </row>
    <row r="52">
      <c r="A52" t="inlineStr">
        <is>
          <t>Enterprise value (USD M)</t>
        </is>
      </c>
      <c r="B52" s="5">
        <f>B50+B51</f>
        <v/>
      </c>
    </row>
    <row r="53">
      <c r="A53" t="inlineStr">
        <is>
          <t>FY26 non-GAAP EPS midpoint</t>
        </is>
      </c>
      <c r="B53" s="5">
        <f>AVERAGE(Inputs!$B$22,Inputs!$B$23)</f>
        <v/>
      </c>
    </row>
    <row r="54">
      <c r="A54" t="inlineStr">
        <is>
          <t>P/E on FY26 non-GAAP EPS guide</t>
        </is>
      </c>
      <c r="B54" s="5">
        <f>B5/B53</f>
        <v/>
      </c>
    </row>
    <row r="55">
      <c r="A55" t="inlineStr">
        <is>
          <t>9M FY26 FCF (OCF - capex, USD M)</t>
        </is>
      </c>
      <c r="B55" s="5">
        <f>Inputs!$B$31-Inputs!$B$32</f>
        <v/>
      </c>
    </row>
    <row r="56">
      <c r="A56" t="inlineStr">
        <is>
          <t>9M FY26 FCF after SBC (USD M)</t>
        </is>
      </c>
      <c r="B56" s="5">
        <f>B55-Inputs!$B$33</f>
        <v/>
      </c>
    </row>
    <row r="57">
      <c r="A57" t="inlineStr">
        <is>
          <t>Annualized FCF (9M x 4/3, USD M)</t>
        </is>
      </c>
      <c r="B57" s="5">
        <f>B55*4/3</f>
        <v/>
      </c>
    </row>
    <row r="58">
      <c r="A58" t="inlineStr">
        <is>
          <t>EV / annualized FCF</t>
        </is>
      </c>
      <c r="B58" s="5">
        <f>B52/B57</f>
        <v/>
      </c>
    </row>
    <row r="59">
      <c r="A59" t="inlineStr">
        <is>
          <t>FCF yield on market cap (annualized)</t>
        </is>
      </c>
      <c r="B59" s="5">
        <f>B57/B50</f>
        <v/>
      </c>
    </row>
    <row r="60">
      <c r="A60" t="inlineStr">
        <is>
          <t>Q3 FY26 C&amp;MP YoY growth</t>
        </is>
      </c>
      <c r="B60" s="5">
        <f>Inputs!$B$8/Inputs!$B$9-1</f>
        <v/>
      </c>
    </row>
    <row r="61">
      <c r="A61" t="inlineStr">
        <is>
          <t>Q3 FY26 BP&amp;C YoY growth</t>
        </is>
      </c>
      <c r="B61" s="5">
        <f>Inputs!$B$10/Inputs!$B$11-1</f>
        <v/>
      </c>
    </row>
    <row r="62">
      <c r="A62" t="inlineStr">
        <is>
          <t>9M FY26 C&amp;MP YoY growth</t>
        </is>
      </c>
      <c r="B62" s="5">
        <f>Inputs!$B$12/Inputs!$B$13-1</f>
        <v/>
      </c>
    </row>
    <row r="63">
      <c r="A63" t="inlineStr">
        <is>
          <t>9M FY26 BP&amp;C YoY growth</t>
        </is>
      </c>
      <c r="B63" s="5">
        <f>Inputs!$B$14/Inputs!$B$15-1</f>
        <v/>
      </c>
    </row>
    <row r="64">
      <c r="A64" t="inlineStr">
        <is>
          <t>Implied Q4 FY26 C&amp;MP revenue (guide mid - 9M)</t>
        </is>
      </c>
      <c r="B64" s="5">
        <f>AVERAGE(Inputs!$B$18,Inputs!$B$19)-Inputs!$B$12</f>
        <v/>
      </c>
    </row>
    <row r="65">
      <c r="A65" t="inlineStr">
        <is>
          <t>Implied FY26 ending ARR (USD M)</t>
        </is>
      </c>
      <c r="B65" s="5">
        <f>Inputs!$B$25*(1+Inputs!$B$24)</f>
        <v/>
      </c>
    </row>
    <row r="66">
      <c r="A66" t="inlineStr">
        <is>
          <t>AI-first ARR as % of Q3 ending ARR</t>
        </is>
      </c>
      <c r="B66" s="5">
        <f>Inputs!$B$28/Inputs!$B$26</f>
        <v/>
      </c>
    </row>
    <row r="67">
      <c r="A67" t="inlineStr">
        <is>
          <t>Q3 FY26 non-GAAP operating margin</t>
        </is>
      </c>
      <c r="B67" s="5">
        <f>Inputs!$B$42/Inputs!$B$7</f>
        <v/>
      </c>
    </row>
    <row r="68">
      <c r="A68" t="inlineStr">
        <is>
          <t>Q3 FY26 cRPO (USD M)</t>
        </is>
      </c>
      <c r="B68" s="5">
        <f>Inputs!$B$40*Inputs!$B$41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0"/>
  <sheetViews>
    <sheetView workbookViewId="0">
      <selection activeCell="A1" sqref="A1"/>
    </sheetView>
  </sheetViews>
  <sheetFormatPr baseColWidth="8" defaultRowHeight="15"/>
  <cols>
    <col width="50" customWidth="1" min="1" max="1"/>
    <col width="36" customWidth="1" min="2" max="2"/>
    <col width="50" customWidth="1" min="3" max="3"/>
    <col width="43" customWidth="1" min="4" max="4"/>
    <col width="35" customWidth="1" min="5" max="5"/>
    <col width="22" customWidth="1" min="6" max="6"/>
    <col width="21" customWidth="1" min="7" max="7"/>
    <col width="18" customWidth="1" min="8" max="8"/>
    <col width="15" customWidth="1" min="9" max="9"/>
    <col width="50" customWidth="1" min="10" max="10"/>
    <col width="50" customWidth="1" min="11" max="11"/>
    <col width="23" customWidth="1" min="12" max="12"/>
    <col width="19" customWidth="1" min="13" max="13"/>
    <col width="34" customWidth="1" min="14" max="14"/>
    <col width="23" customWidth="1" min="15" max="15"/>
    <col width="34" customWidth="1" min="16" max="16"/>
    <col width="50" customWidth="1" min="17" max="17"/>
  </cols>
  <sheetData>
    <row r="1">
      <c r="A1" s="1" t="inlineStr">
        <is>
          <t>WS1: price vs volume decomposition (blue = sourced/modelled input; black = formula)</t>
        </is>
      </c>
    </row>
    <row r="2"/>
    <row r="3">
      <c r="A3" s="2" t="inlineStr">
        <is>
          <t>Method (ws1 methods.md): cc growth = reported - FX gap; organic = cc - Semrush pts; implied volume/mix = (1+organic)/(1+price) - 1. Price contribution pts come from ws1 data/price_model.csv (list uplift x share repriced x renewal phase-in). Semrush Q3 FY26 revenue is an ESTIMATE.</t>
        </is>
      </c>
    </row>
    <row r="4">
      <c r="A4" s="3" t="inlineStr">
        <is>
          <t>fiscal_quarter</t>
        </is>
      </c>
      <c r="B4" s="3" t="inlineStr">
        <is>
          <t>group</t>
        </is>
      </c>
      <c r="C4" s="3" t="inlineStr">
        <is>
          <t>scenario</t>
        </is>
      </c>
      <c r="D4" s="3" t="inlineStr">
        <is>
          <t>share_repriced</t>
        </is>
      </c>
      <c r="E4" s="3" t="inlineStr">
        <is>
          <t>sub_rev_m</t>
        </is>
      </c>
      <c r="F4" s="3" t="inlineStr">
        <is>
          <t>prior_year_sub_rev_m</t>
        </is>
      </c>
      <c r="G4" s="3" t="inlineStr">
        <is>
          <t>reported_growth_pct</t>
        </is>
      </c>
      <c r="H4" s="3" t="inlineStr">
        <is>
          <t>fx_adj_pts</t>
        </is>
      </c>
      <c r="I4" s="3" t="inlineStr">
        <is>
          <t>cc_growth_pct</t>
        </is>
      </c>
      <c r="J4" s="3" t="inlineStr">
        <is>
          <t>semrush_rev_m</t>
        </is>
      </c>
      <c r="K4" s="3" t="inlineStr">
        <is>
          <t>semrush_pts</t>
        </is>
      </c>
      <c r="L4" s="3" t="inlineStr">
        <is>
          <t>organic_cc_growth_pct</t>
        </is>
      </c>
      <c r="M4" s="3" t="inlineStr">
        <is>
          <t>price_contrib_pts</t>
        </is>
      </c>
      <c r="N4" s="3" t="inlineStr">
        <is>
          <t>implied_volume_mix_pct</t>
        </is>
      </c>
      <c r="O4" s="3" t="inlineStr">
        <is>
          <t>price_contrib_m2m_pts</t>
        </is>
      </c>
      <c r="P4" s="3" t="inlineStr">
        <is>
          <t>implied_volume_m2m_pct</t>
        </is>
      </c>
      <c r="Q4" s="3" t="inlineStr">
        <is>
          <t>fx_note</t>
        </is>
      </c>
    </row>
    <row r="5">
      <c r="A5" t="inlineStr">
        <is>
          <t>FY25Q1</t>
        </is>
      </c>
      <c r="B5" t="inlineStr">
        <is>
          <t>Creative &amp; Marketing Professionals</t>
        </is>
      </c>
      <c r="C5" t="inlineStr">
        <is>
          <t>low_10pct</t>
        </is>
      </c>
      <c r="D5" s="4" t="n">
        <v>0.1</v>
      </c>
      <c r="E5" s="4" t="n">
        <v>3920</v>
      </c>
      <c r="F5" s="4" t="n">
        <v>3560</v>
      </c>
      <c r="G5" s="6">
        <f>(E5/F5-1)*100</f>
        <v/>
      </c>
      <c r="H5" s="4" t="n">
        <v>-1</v>
      </c>
      <c r="I5" s="6">
        <f>G5-H5</f>
        <v/>
      </c>
      <c r="J5" s="4" t="n">
        <v>0</v>
      </c>
      <c r="K5" s="6">
        <f>J5/F5*100</f>
        <v/>
      </c>
      <c r="L5" s="6">
        <f>I5-K5</f>
        <v/>
      </c>
      <c r="M5" s="4" t="n">
        <v>0.83</v>
      </c>
      <c r="N5" s="6">
        <f>((1+L5/100)/(1+M5/100)-1)*100</f>
        <v/>
      </c>
      <c r="O5" s="4" t="n">
        <v>0.5</v>
      </c>
      <c r="P5" s="6">
        <f>((1+L5/100)/(1+O5/100)-1)*100</f>
        <v/>
      </c>
      <c r="Q5" t="inlineStr">
        <is>
          <t>total co. 10% rep / 11% cc; segment cc not disclosed -&gt; company gap applied</t>
        </is>
      </c>
    </row>
    <row r="6">
      <c r="A6" t="inlineStr">
        <is>
          <t>FY25Q1</t>
        </is>
      </c>
      <c r="B6" t="inlineStr">
        <is>
          <t>Creative &amp; Marketing Professionals</t>
        </is>
      </c>
      <c r="C6" t="inlineStr">
        <is>
          <t>base_20pct</t>
        </is>
      </c>
      <c r="D6" s="4" t="n">
        <v>0.2</v>
      </c>
      <c r="E6" s="4" t="n">
        <v>3920</v>
      </c>
      <c r="F6" s="4" t="n">
        <v>3560</v>
      </c>
      <c r="G6" s="6">
        <f>(E6/F6-1)*100</f>
        <v/>
      </c>
      <c r="H6" s="4" t="n">
        <v>-1</v>
      </c>
      <c r="I6" s="6">
        <f>G6-H6</f>
        <v/>
      </c>
      <c r="J6" s="4" t="n">
        <v>0</v>
      </c>
      <c r="K6" s="6">
        <f>J6/F6*100</f>
        <v/>
      </c>
      <c r="L6" s="6">
        <f>I6-K6</f>
        <v/>
      </c>
      <c r="M6" s="4" t="n">
        <v>1.67</v>
      </c>
      <c r="N6" s="6">
        <f>((1+L6/100)/(1+M6/100)-1)*100</f>
        <v/>
      </c>
      <c r="O6" s="4" t="n">
        <v>1</v>
      </c>
      <c r="P6" s="6">
        <f>((1+L6/100)/(1+O6/100)-1)*100</f>
        <v/>
      </c>
      <c r="Q6" t="inlineStr">
        <is>
          <t>total co. 10% rep / 11% cc; segment cc not disclosed -&gt; company gap applied</t>
        </is>
      </c>
    </row>
    <row r="7">
      <c r="A7" t="inlineStr">
        <is>
          <t>FY25Q1</t>
        </is>
      </c>
      <c r="B7" t="inlineStr">
        <is>
          <t>Creative &amp; Marketing Professionals</t>
        </is>
      </c>
      <c r="C7" t="inlineStr">
        <is>
          <t>high_30pct</t>
        </is>
      </c>
      <c r="D7" s="4" t="n">
        <v>0.3</v>
      </c>
      <c r="E7" s="4" t="n">
        <v>3920</v>
      </c>
      <c r="F7" s="4" t="n">
        <v>3560</v>
      </c>
      <c r="G7" s="6">
        <f>(E7/F7-1)*100</f>
        <v/>
      </c>
      <c r="H7" s="4" t="n">
        <v>-1</v>
      </c>
      <c r="I7" s="6">
        <f>G7-H7</f>
        <v/>
      </c>
      <c r="J7" s="4" t="n">
        <v>0</v>
      </c>
      <c r="K7" s="6">
        <f>J7/F7*100</f>
        <v/>
      </c>
      <c r="L7" s="6">
        <f>I7-K7</f>
        <v/>
      </c>
      <c r="M7" s="4" t="n">
        <v>2.5</v>
      </c>
      <c r="N7" s="6">
        <f>((1+L7/100)/(1+M7/100)-1)*100</f>
        <v/>
      </c>
      <c r="O7" s="4" t="n">
        <v>1.51</v>
      </c>
      <c r="P7" s="6">
        <f>((1+L7/100)/(1+O7/100)-1)*100</f>
        <v/>
      </c>
      <c r="Q7" t="inlineStr">
        <is>
          <t>total co. 10% rep / 11% cc; segment cc not disclosed -&gt; company gap applied</t>
        </is>
      </c>
    </row>
    <row r="8">
      <c r="A8" t="inlineStr">
        <is>
          <t>FY25Q1</t>
        </is>
      </c>
      <c r="B8" t="inlineStr">
        <is>
          <t>Business Professionals &amp; Consumers</t>
        </is>
      </c>
      <c r="C8" t="inlineStr">
        <is>
          <t>low_10pct</t>
        </is>
      </c>
      <c r="D8" s="4" t="n">
        <v>0.1</v>
      </c>
      <c r="E8" s="4" t="n">
        <v>1530</v>
      </c>
      <c r="F8" s="4" t="n">
        <v>1330</v>
      </c>
      <c r="G8" s="6">
        <f>(E8/F8-1)*100</f>
        <v/>
      </c>
      <c r="H8" s="4" t="n">
        <v>-1</v>
      </c>
      <c r="I8" s="6">
        <f>G8-H8</f>
        <v/>
      </c>
      <c r="J8" s="4" t="n">
        <v>0</v>
      </c>
      <c r="K8" s="6">
        <f>J8/F8*100</f>
        <v/>
      </c>
      <c r="L8" s="6">
        <f>I8-K8</f>
        <v/>
      </c>
      <c r="M8" s="4" t="n">
        <v>1.78</v>
      </c>
      <c r="N8" s="6">
        <f>((1+L8/100)/(1+M8/100)-1)*100</f>
        <v/>
      </c>
      <c r="O8" s="4" t="n">
        <v>0</v>
      </c>
      <c r="P8" s="6">
        <f>((1+L8/100)/(1+O8/100)-1)*100</f>
        <v/>
      </c>
      <c r="Q8" t="inlineStr">
        <is>
          <t>total co. 10% rep / 11% cc; segment cc not disclosed -&gt; company gap applied</t>
        </is>
      </c>
    </row>
    <row r="9">
      <c r="A9" t="inlineStr">
        <is>
          <t>FY25Q1</t>
        </is>
      </c>
      <c r="B9" t="inlineStr">
        <is>
          <t>Business Professionals &amp; Consumers</t>
        </is>
      </c>
      <c r="C9" t="inlineStr">
        <is>
          <t>base_20pct</t>
        </is>
      </c>
      <c r="D9" s="4" t="n">
        <v>0.2</v>
      </c>
      <c r="E9" s="4" t="n">
        <v>1530</v>
      </c>
      <c r="F9" s="4" t="n">
        <v>1330</v>
      </c>
      <c r="G9" s="6">
        <f>(E9/F9-1)*100</f>
        <v/>
      </c>
      <c r="H9" s="4" t="n">
        <v>-1</v>
      </c>
      <c r="I9" s="6">
        <f>G9-H9</f>
        <v/>
      </c>
      <c r="J9" s="4" t="n">
        <v>0</v>
      </c>
      <c r="K9" s="6">
        <f>J9/F9*100</f>
        <v/>
      </c>
      <c r="L9" s="6">
        <f>I9-K9</f>
        <v/>
      </c>
      <c r="M9" s="4" t="n">
        <v>3.51</v>
      </c>
      <c r="N9" s="6">
        <f>((1+L9/100)/(1+M9/100)-1)*100</f>
        <v/>
      </c>
      <c r="O9" s="4" t="n">
        <v>0</v>
      </c>
      <c r="P9" s="6">
        <f>((1+L9/100)/(1+O9/100)-1)*100</f>
        <v/>
      </c>
      <c r="Q9" t="inlineStr">
        <is>
          <t>total co. 10% rep / 11% cc; segment cc not disclosed -&gt; company gap applied</t>
        </is>
      </c>
    </row>
    <row r="10">
      <c r="A10" t="inlineStr">
        <is>
          <t>FY25Q1</t>
        </is>
      </c>
      <c r="B10" t="inlineStr">
        <is>
          <t>Business Professionals &amp; Consumers</t>
        </is>
      </c>
      <c r="C10" t="inlineStr">
        <is>
          <t>high_30pct</t>
        </is>
      </c>
      <c r="D10" s="4" t="n">
        <v>0.3</v>
      </c>
      <c r="E10" s="4" t="n">
        <v>1530</v>
      </c>
      <c r="F10" s="4" t="n">
        <v>1330</v>
      </c>
      <c r="G10" s="6">
        <f>(E10/F10-1)*100</f>
        <v/>
      </c>
      <c r="H10" s="4" t="n">
        <v>-1</v>
      </c>
      <c r="I10" s="6">
        <f>G10-H10</f>
        <v/>
      </c>
      <c r="J10" s="4" t="n">
        <v>0</v>
      </c>
      <c r="K10" s="6">
        <f>J10/F10*100</f>
        <v/>
      </c>
      <c r="L10" s="6">
        <f>I10-K10</f>
        <v/>
      </c>
      <c r="M10" s="4" t="n">
        <v>5.2</v>
      </c>
      <c r="N10" s="6">
        <f>((1+L10/100)/(1+M10/100)-1)*100</f>
        <v/>
      </c>
      <c r="O10" s="4" t="n">
        <v>0</v>
      </c>
      <c r="P10" s="6">
        <f>((1+L10/100)/(1+O10/100)-1)*100</f>
        <v/>
      </c>
      <c r="Q10" t="inlineStr">
        <is>
          <t>total co. 10% rep / 11% cc; segment cc not disclosed -&gt; company gap applied</t>
        </is>
      </c>
    </row>
    <row r="11">
      <c r="A11" t="inlineStr">
        <is>
          <t>FY25Q2</t>
        </is>
      </c>
      <c r="B11" t="inlineStr">
        <is>
          <t>Creative &amp; Marketing Professionals</t>
        </is>
      </c>
      <c r="C11" t="inlineStr">
        <is>
          <t>low_10pct</t>
        </is>
      </c>
      <c r="D11" s="4" t="n">
        <v>0.1</v>
      </c>
      <c r="E11" s="4" t="n">
        <v>4020</v>
      </c>
      <c r="F11" s="4" t="n">
        <v>3655</v>
      </c>
      <c r="G11" s="6">
        <f>(E11/F11-1)*100</f>
        <v/>
      </c>
      <c r="H11" s="4" t="n">
        <v>0</v>
      </c>
      <c r="I11" s="6">
        <f>G11-H11</f>
        <v/>
      </c>
      <c r="J11" s="4" t="n">
        <v>0</v>
      </c>
      <c r="K11" s="6">
        <f>J11/F11*100</f>
        <v/>
      </c>
      <c r="L11" s="6">
        <f>I11-K11</f>
        <v/>
      </c>
      <c r="M11" s="4" t="n">
        <v>0.72</v>
      </c>
      <c r="N11" s="6">
        <f>((1+L11/100)/(1+M11/100)-1)*100</f>
        <v/>
      </c>
      <c r="O11" s="4" t="n">
        <v>0.4</v>
      </c>
      <c r="P11" s="6">
        <f>((1+L11/100)/(1+O11/100)-1)*100</f>
        <v/>
      </c>
      <c r="Q11" t="inlineStr">
        <is>
          <t>segment cc not found; DX sub 11% rep = cc -&gt; 0 assumed</t>
        </is>
      </c>
    </row>
    <row r="12">
      <c r="A12" t="inlineStr">
        <is>
          <t>FY25Q2</t>
        </is>
      </c>
      <c r="B12" t="inlineStr">
        <is>
          <t>Creative &amp; Marketing Professionals</t>
        </is>
      </c>
      <c r="C12" t="inlineStr">
        <is>
          <t>base_20pct</t>
        </is>
      </c>
      <c r="D12" s="4" t="n">
        <v>0.2</v>
      </c>
      <c r="E12" s="4" t="n">
        <v>4020</v>
      </c>
      <c r="F12" s="4" t="n">
        <v>3655</v>
      </c>
      <c r="G12" s="6">
        <f>(E12/F12-1)*100</f>
        <v/>
      </c>
      <c r="H12" s="4" t="n">
        <v>0</v>
      </c>
      <c r="I12" s="6">
        <f>G12-H12</f>
        <v/>
      </c>
      <c r="J12" s="4" t="n">
        <v>0</v>
      </c>
      <c r="K12" s="6">
        <f>J12/F12*100</f>
        <v/>
      </c>
      <c r="L12" s="6">
        <f>I12-K12</f>
        <v/>
      </c>
      <c r="M12" s="4" t="n">
        <v>1.44</v>
      </c>
      <c r="N12" s="6">
        <f>((1+L12/100)/(1+M12/100)-1)*100</f>
        <v/>
      </c>
      <c r="O12" s="4" t="n">
        <v>0.8</v>
      </c>
      <c r="P12" s="6">
        <f>((1+L12/100)/(1+O12/100)-1)*100</f>
        <v/>
      </c>
      <c r="Q12" t="inlineStr">
        <is>
          <t>segment cc not found; DX sub 11% rep = cc -&gt; 0 assumed</t>
        </is>
      </c>
    </row>
    <row r="13">
      <c r="A13" t="inlineStr">
        <is>
          <t>FY25Q2</t>
        </is>
      </c>
      <c r="B13" t="inlineStr">
        <is>
          <t>Creative &amp; Marketing Professionals</t>
        </is>
      </c>
      <c r="C13" t="inlineStr">
        <is>
          <t>high_30pct</t>
        </is>
      </c>
      <c r="D13" s="4" t="n">
        <v>0.3</v>
      </c>
      <c r="E13" s="4" t="n">
        <v>4020</v>
      </c>
      <c r="F13" s="4" t="n">
        <v>3655</v>
      </c>
      <c r="G13" s="6">
        <f>(E13/F13-1)*100</f>
        <v/>
      </c>
      <c r="H13" s="4" t="n">
        <v>0</v>
      </c>
      <c r="I13" s="6">
        <f>G13-H13</f>
        <v/>
      </c>
      <c r="J13" s="4" t="n">
        <v>0</v>
      </c>
      <c r="K13" s="6">
        <f>J13/F13*100</f>
        <v/>
      </c>
      <c r="L13" s="6">
        <f>I13-K13</f>
        <v/>
      </c>
      <c r="M13" s="4" t="n">
        <v>2.15</v>
      </c>
      <c r="N13" s="6">
        <f>((1+L13/100)/(1+M13/100)-1)*100</f>
        <v/>
      </c>
      <c r="O13" s="4" t="n">
        <v>1.2</v>
      </c>
      <c r="P13" s="6">
        <f>((1+L13/100)/(1+O13/100)-1)*100</f>
        <v/>
      </c>
      <c r="Q13" t="inlineStr">
        <is>
          <t>segment cc not found; DX sub 11% rep = cc -&gt; 0 assumed</t>
        </is>
      </c>
    </row>
    <row r="14">
      <c r="A14" t="inlineStr">
        <is>
          <t>FY25Q2</t>
        </is>
      </c>
      <c r="B14" t="inlineStr">
        <is>
          <t>Business Professionals &amp; Consumers</t>
        </is>
      </c>
      <c r="C14" t="inlineStr">
        <is>
          <t>low_10pct</t>
        </is>
      </c>
      <c r="D14" s="4" t="n">
        <v>0.1</v>
      </c>
      <c r="E14" s="4" t="n">
        <v>1600</v>
      </c>
      <c r="F14" s="4" t="n">
        <v>1391</v>
      </c>
      <c r="G14" s="6">
        <f>(E14/F14-1)*100</f>
        <v/>
      </c>
      <c r="H14" s="4" t="n">
        <v>0</v>
      </c>
      <c r="I14" s="6">
        <f>G14-H14</f>
        <v/>
      </c>
      <c r="J14" s="4" t="n">
        <v>0</v>
      </c>
      <c r="K14" s="6">
        <f>J14/F14*100</f>
        <v/>
      </c>
      <c r="L14" s="6">
        <f>I14-K14</f>
        <v/>
      </c>
      <c r="M14" s="4" t="n">
        <v>0.75</v>
      </c>
      <c r="N14" s="6">
        <f>((1+L14/100)/(1+M14/100)-1)*100</f>
        <v/>
      </c>
      <c r="O14" s="4" t="n">
        <v>0</v>
      </c>
      <c r="P14" s="6">
        <f>((1+L14/100)/(1+O14/100)-1)*100</f>
        <v/>
      </c>
      <c r="Q14" t="inlineStr">
        <is>
          <t>segment cc not found; DX sub 11% rep = cc -&gt; 0 assumed</t>
        </is>
      </c>
    </row>
    <row r="15">
      <c r="A15" t="inlineStr">
        <is>
          <t>FY25Q2</t>
        </is>
      </c>
      <c r="B15" t="inlineStr">
        <is>
          <t>Business Professionals &amp; Consumers</t>
        </is>
      </c>
      <c r="C15" t="inlineStr">
        <is>
          <t>base_20pct</t>
        </is>
      </c>
      <c r="D15" s="4" t="n">
        <v>0.2</v>
      </c>
      <c r="E15" s="4" t="n">
        <v>1600</v>
      </c>
      <c r="F15" s="4" t="n">
        <v>1391</v>
      </c>
      <c r="G15" s="6">
        <f>(E15/F15-1)*100</f>
        <v/>
      </c>
      <c r="H15" s="4" t="n">
        <v>0</v>
      </c>
      <c r="I15" s="6">
        <f>G15-H15</f>
        <v/>
      </c>
      <c r="J15" s="4" t="n">
        <v>0</v>
      </c>
      <c r="K15" s="6">
        <f>J15/F15*100</f>
        <v/>
      </c>
      <c r="L15" s="6">
        <f>I15-K15</f>
        <v/>
      </c>
      <c r="M15" s="4" t="n">
        <v>1.46</v>
      </c>
      <c r="N15" s="6">
        <f>((1+L15/100)/(1+M15/100)-1)*100</f>
        <v/>
      </c>
      <c r="O15" s="4" t="n">
        <v>0</v>
      </c>
      <c r="P15" s="6">
        <f>((1+L15/100)/(1+O15/100)-1)*100</f>
        <v/>
      </c>
      <c r="Q15" t="inlineStr">
        <is>
          <t>segment cc not found; DX sub 11% rep = cc -&gt; 0 assumed</t>
        </is>
      </c>
    </row>
    <row r="16">
      <c r="A16" t="inlineStr">
        <is>
          <t>FY25Q2</t>
        </is>
      </c>
      <c r="B16" t="inlineStr">
        <is>
          <t>Business Professionals &amp; Consumers</t>
        </is>
      </c>
      <c r="C16" t="inlineStr">
        <is>
          <t>high_30pct</t>
        </is>
      </c>
      <c r="D16" s="4" t="n">
        <v>0.3</v>
      </c>
      <c r="E16" s="4" t="n">
        <v>1600</v>
      </c>
      <c r="F16" s="4" t="n">
        <v>1391</v>
      </c>
      <c r="G16" s="6">
        <f>(E16/F16-1)*100</f>
        <v/>
      </c>
      <c r="H16" s="4" t="n">
        <v>0</v>
      </c>
      <c r="I16" s="6">
        <f>G16-H16</f>
        <v/>
      </c>
      <c r="J16" s="4" t="n">
        <v>0</v>
      </c>
      <c r="K16" s="6">
        <f>J16/F16*100</f>
        <v/>
      </c>
      <c r="L16" s="6">
        <f>I16-K16</f>
        <v/>
      </c>
      <c r="M16" s="4" t="n">
        <v>2.15</v>
      </c>
      <c r="N16" s="6">
        <f>((1+L16/100)/(1+M16/100)-1)*100</f>
        <v/>
      </c>
      <c r="O16" s="4" t="n">
        <v>0</v>
      </c>
      <c r="P16" s="6">
        <f>((1+L16/100)/(1+O16/100)-1)*100</f>
        <v/>
      </c>
      <c r="Q16" t="inlineStr">
        <is>
          <t>segment cc not found; DX sub 11% rep = cc -&gt; 0 assumed</t>
        </is>
      </c>
    </row>
    <row r="17">
      <c r="A17" t="inlineStr">
        <is>
          <t>FY25Q3</t>
        </is>
      </c>
      <c r="B17" t="inlineStr">
        <is>
          <t>Creative &amp; Marketing Professionals</t>
        </is>
      </c>
      <c r="C17" t="inlineStr">
        <is>
          <t>low_10pct</t>
        </is>
      </c>
      <c r="D17" s="4" t="n">
        <v>0.1</v>
      </c>
      <c r="E17" s="4" t="n">
        <v>4117</v>
      </c>
      <c r="F17" s="4" t="n">
        <v>3709</v>
      </c>
      <c r="G17" s="6">
        <f>(E17/F17-1)*100</f>
        <v/>
      </c>
      <c r="H17" s="4" t="n">
        <v>1</v>
      </c>
      <c r="I17" s="6">
        <f>G17-H17</f>
        <v/>
      </c>
      <c r="J17" s="4" t="n">
        <v>0</v>
      </c>
      <c r="K17" s="6">
        <f>J17/F17*100</f>
        <v/>
      </c>
      <c r="L17" s="6">
        <f>I17-K17</f>
        <v/>
      </c>
      <c r="M17" s="4" t="n">
        <v>0.8100000000000001</v>
      </c>
      <c r="N17" s="6">
        <f>((1+L17/100)/(1+M17/100)-1)*100</f>
        <v/>
      </c>
      <c r="O17" s="4" t="n">
        <v>1.86</v>
      </c>
      <c r="P17" s="6">
        <f>((1+L17/100)/(1+O17/100)-1)*100</f>
        <v/>
      </c>
      <c r="Q17" t="inlineStr">
        <is>
          <t>Digital Media 12% rep / 11% cc applied to both groups</t>
        </is>
      </c>
    </row>
    <row r="18">
      <c r="A18" t="inlineStr">
        <is>
          <t>FY25Q3</t>
        </is>
      </c>
      <c r="B18" t="inlineStr">
        <is>
          <t>Creative &amp; Marketing Professionals</t>
        </is>
      </c>
      <c r="C18" t="inlineStr">
        <is>
          <t>base_20pct</t>
        </is>
      </c>
      <c r="D18" s="4" t="n">
        <v>0.2</v>
      </c>
      <c r="E18" s="4" t="n">
        <v>4117</v>
      </c>
      <c r="F18" s="4" t="n">
        <v>3709</v>
      </c>
      <c r="G18" s="6">
        <f>(E18/F18-1)*100</f>
        <v/>
      </c>
      <c r="H18" s="4" t="n">
        <v>1</v>
      </c>
      <c r="I18" s="6">
        <f>G18-H18</f>
        <v/>
      </c>
      <c r="J18" s="4" t="n">
        <v>0</v>
      </c>
      <c r="K18" s="6">
        <f>J18/F18*100</f>
        <v/>
      </c>
      <c r="L18" s="6">
        <f>I18-K18</f>
        <v/>
      </c>
      <c r="M18" s="4" t="n">
        <v>1.62</v>
      </c>
      <c r="N18" s="6">
        <f>((1+L18/100)/(1+M18/100)-1)*100</f>
        <v/>
      </c>
      <c r="O18" s="4" t="n">
        <v>3.72</v>
      </c>
      <c r="P18" s="6">
        <f>((1+L18/100)/(1+O18/100)-1)*100</f>
        <v/>
      </c>
      <c r="Q18" t="inlineStr">
        <is>
          <t>Digital Media 12% rep / 11% cc applied to both groups</t>
        </is>
      </c>
    </row>
    <row r="19">
      <c r="A19" t="inlineStr">
        <is>
          <t>FY25Q3</t>
        </is>
      </c>
      <c r="B19" t="inlineStr">
        <is>
          <t>Creative &amp; Marketing Professionals</t>
        </is>
      </c>
      <c r="C19" t="inlineStr">
        <is>
          <t>high_30pct</t>
        </is>
      </c>
      <c r="D19" s="4" t="n">
        <v>0.3</v>
      </c>
      <c r="E19" s="4" t="n">
        <v>4117</v>
      </c>
      <c r="F19" s="4" t="n">
        <v>3709</v>
      </c>
      <c r="G19" s="6">
        <f>(E19/F19-1)*100</f>
        <v/>
      </c>
      <c r="H19" s="4" t="n">
        <v>1</v>
      </c>
      <c r="I19" s="6">
        <f>G19-H19</f>
        <v/>
      </c>
      <c r="J19" s="4" t="n">
        <v>0</v>
      </c>
      <c r="K19" s="6">
        <f>J19/F19*100</f>
        <v/>
      </c>
      <c r="L19" s="6">
        <f>I19-K19</f>
        <v/>
      </c>
      <c r="M19" s="4" t="n">
        <v>2.43</v>
      </c>
      <c r="N19" s="6">
        <f>((1+L19/100)/(1+M19/100)-1)*100</f>
        <v/>
      </c>
      <c r="O19" s="4" t="n">
        <v>5.6</v>
      </c>
      <c r="P19" s="6">
        <f>((1+L19/100)/(1+O19/100)-1)*100</f>
        <v/>
      </c>
      <c r="Q19" t="inlineStr">
        <is>
          <t>Digital Media 12% rep / 11% cc applied to both groups</t>
        </is>
      </c>
    </row>
    <row r="20">
      <c r="A20" t="inlineStr">
        <is>
          <t>FY25Q3</t>
        </is>
      </c>
      <c r="B20" t="inlineStr">
        <is>
          <t>Business Professionals &amp; Consumers</t>
        </is>
      </c>
      <c r="C20" t="inlineStr">
        <is>
          <t>low_10pct</t>
        </is>
      </c>
      <c r="D20" s="4" t="n">
        <v>0.1</v>
      </c>
      <c r="E20" s="4" t="n">
        <v>1648</v>
      </c>
      <c r="F20" s="4" t="n">
        <v>1433</v>
      </c>
      <c r="G20" s="6">
        <f>(E20/F20-1)*100</f>
        <v/>
      </c>
      <c r="H20" s="4" t="n">
        <v>1</v>
      </c>
      <c r="I20" s="6">
        <f>G20-H20</f>
        <v/>
      </c>
      <c r="J20" s="4" t="n">
        <v>0</v>
      </c>
      <c r="K20" s="6">
        <f>J20/F20*100</f>
        <v/>
      </c>
      <c r="L20" s="6">
        <f>I20-K20</f>
        <v/>
      </c>
      <c r="M20" s="4" t="n">
        <v>0.02</v>
      </c>
      <c r="N20" s="6">
        <f>((1+L20/100)/(1+M20/100)-1)*100</f>
        <v/>
      </c>
      <c r="O20" s="4" t="n">
        <v>0</v>
      </c>
      <c r="P20" s="6">
        <f>((1+L20/100)/(1+O20/100)-1)*100</f>
        <v/>
      </c>
      <c r="Q20" t="inlineStr">
        <is>
          <t>Digital Media 12% rep / 11% cc applied to both groups</t>
        </is>
      </c>
    </row>
    <row r="21">
      <c r="A21" t="inlineStr">
        <is>
          <t>FY25Q3</t>
        </is>
      </c>
      <c r="B21" t="inlineStr">
        <is>
          <t>Business Professionals &amp; Consumers</t>
        </is>
      </c>
      <c r="C21" t="inlineStr">
        <is>
          <t>base_20pct</t>
        </is>
      </c>
      <c r="D21" s="4" t="n">
        <v>0.2</v>
      </c>
      <c r="E21" s="4" t="n">
        <v>1648</v>
      </c>
      <c r="F21" s="4" t="n">
        <v>1433</v>
      </c>
      <c r="G21" s="6">
        <f>(E21/F21-1)*100</f>
        <v/>
      </c>
      <c r="H21" s="4" t="n">
        <v>1</v>
      </c>
      <c r="I21" s="6">
        <f>G21-H21</f>
        <v/>
      </c>
      <c r="J21" s="4" t="n">
        <v>0</v>
      </c>
      <c r="K21" s="6">
        <f>J21/F21*100</f>
        <v/>
      </c>
      <c r="L21" s="6">
        <f>I21-K21</f>
        <v/>
      </c>
      <c r="M21" s="4" t="n">
        <v>0.04</v>
      </c>
      <c r="N21" s="6">
        <f>((1+L21/100)/(1+M21/100)-1)*100</f>
        <v/>
      </c>
      <c r="O21" s="4" t="n">
        <v>0</v>
      </c>
      <c r="P21" s="6">
        <f>((1+L21/100)/(1+O21/100)-1)*100</f>
        <v/>
      </c>
      <c r="Q21" t="inlineStr">
        <is>
          <t>Digital Media 12% rep / 11% cc applied to both groups</t>
        </is>
      </c>
    </row>
    <row r="22">
      <c r="A22" t="inlineStr">
        <is>
          <t>FY25Q3</t>
        </is>
      </c>
      <c r="B22" t="inlineStr">
        <is>
          <t>Business Professionals &amp; Consumers</t>
        </is>
      </c>
      <c r="C22" t="inlineStr">
        <is>
          <t>high_30pct</t>
        </is>
      </c>
      <c r="D22" s="4" t="n">
        <v>0.3</v>
      </c>
      <c r="E22" s="4" t="n">
        <v>1648</v>
      </c>
      <c r="F22" s="4" t="n">
        <v>1433</v>
      </c>
      <c r="G22" s="6">
        <f>(E22/F22-1)*100</f>
        <v/>
      </c>
      <c r="H22" s="4" t="n">
        <v>1</v>
      </c>
      <c r="I22" s="6">
        <f>G22-H22</f>
        <v/>
      </c>
      <c r="J22" s="4" t="n">
        <v>0</v>
      </c>
      <c r="K22" s="6">
        <f>J22/F22*100</f>
        <v/>
      </c>
      <c r="L22" s="6">
        <f>I22-K22</f>
        <v/>
      </c>
      <c r="M22" s="4" t="n">
        <v>0.07000000000000001</v>
      </c>
      <c r="N22" s="6">
        <f>((1+L22/100)/(1+M22/100)-1)*100</f>
        <v/>
      </c>
      <c r="O22" s="4" t="n">
        <v>0</v>
      </c>
      <c r="P22" s="6">
        <f>((1+L22/100)/(1+O22/100)-1)*100</f>
        <v/>
      </c>
      <c r="Q22" t="inlineStr">
        <is>
          <t>Digital Media 12% rep / 11% cc applied to both groups</t>
        </is>
      </c>
    </row>
    <row r="23">
      <c r="A23" t="inlineStr">
        <is>
          <t>FY25Q4</t>
        </is>
      </c>
      <c r="B23" t="inlineStr">
        <is>
          <t>Creative &amp; Marketing Professionals</t>
        </is>
      </c>
      <c r="C23" t="inlineStr">
        <is>
          <t>low_10pct</t>
        </is>
      </c>
      <c r="D23" s="4" t="n">
        <v>0.1</v>
      </c>
      <c r="E23" s="4" t="n">
        <v>4250</v>
      </c>
      <c r="F23" s="4" t="n">
        <v>3829</v>
      </c>
      <c r="G23" s="6">
        <f>(E23/F23-1)*100</f>
        <v/>
      </c>
      <c r="H23" s="4" t="n">
        <v>1</v>
      </c>
      <c r="I23" s="6">
        <f>G23-H23</f>
        <v/>
      </c>
      <c r="J23" s="4" t="n">
        <v>0</v>
      </c>
      <c r="K23" s="6">
        <f>J23/F23*100</f>
        <v/>
      </c>
      <c r="L23" s="6">
        <f>I23-K23</f>
        <v/>
      </c>
      <c r="M23" s="4" t="n">
        <v>1.04</v>
      </c>
      <c r="N23" s="6">
        <f>((1+L23/100)/(1+M23/100)-1)*100</f>
        <v/>
      </c>
      <c r="O23" s="4" t="n">
        <v>1.86</v>
      </c>
      <c r="P23" s="6">
        <f>((1+L23/100)/(1+O23/100)-1)*100</f>
        <v/>
      </c>
      <c r="Q23" t="inlineStr">
        <is>
          <t>C&amp;MP 11% rep / 10% cc; BP&amp;C cc not disclosed -&gt; same gap</t>
        </is>
      </c>
    </row>
    <row r="24">
      <c r="A24" t="inlineStr">
        <is>
          <t>FY25Q4</t>
        </is>
      </c>
      <c r="B24" t="inlineStr">
        <is>
          <t>Creative &amp; Marketing Professionals</t>
        </is>
      </c>
      <c r="C24" t="inlineStr">
        <is>
          <t>base_20pct</t>
        </is>
      </c>
      <c r="D24" s="4" t="n">
        <v>0.2</v>
      </c>
      <c r="E24" s="4" t="n">
        <v>4250</v>
      </c>
      <c r="F24" s="4" t="n">
        <v>3829</v>
      </c>
      <c r="G24" s="6">
        <f>(E24/F24-1)*100</f>
        <v/>
      </c>
      <c r="H24" s="4" t="n">
        <v>1</v>
      </c>
      <c r="I24" s="6">
        <f>G24-H24</f>
        <v/>
      </c>
      <c r="J24" s="4" t="n">
        <v>0</v>
      </c>
      <c r="K24" s="6">
        <f>J24/F24*100</f>
        <v/>
      </c>
      <c r="L24" s="6">
        <f>I24-K24</f>
        <v/>
      </c>
      <c r="M24" s="4" t="n">
        <v>2.09</v>
      </c>
      <c r="N24" s="6">
        <f>((1+L24/100)/(1+M24/100)-1)*100</f>
        <v/>
      </c>
      <c r="O24" s="4" t="n">
        <v>3.72</v>
      </c>
      <c r="P24" s="6">
        <f>((1+L24/100)/(1+O24/100)-1)*100</f>
        <v/>
      </c>
      <c r="Q24" t="inlineStr">
        <is>
          <t>C&amp;MP 11% rep / 10% cc; BP&amp;C cc not disclosed -&gt; same gap</t>
        </is>
      </c>
    </row>
    <row r="25">
      <c r="A25" t="inlineStr">
        <is>
          <t>FY25Q4</t>
        </is>
      </c>
      <c r="B25" t="inlineStr">
        <is>
          <t>Creative &amp; Marketing Professionals</t>
        </is>
      </c>
      <c r="C25" t="inlineStr">
        <is>
          <t>high_30pct</t>
        </is>
      </c>
      <c r="D25" s="4" t="n">
        <v>0.3</v>
      </c>
      <c r="E25" s="4" t="n">
        <v>4250</v>
      </c>
      <c r="F25" s="4" t="n">
        <v>3829</v>
      </c>
      <c r="G25" s="6">
        <f>(E25/F25-1)*100</f>
        <v/>
      </c>
      <c r="H25" s="4" t="n">
        <v>1</v>
      </c>
      <c r="I25" s="6">
        <f>G25-H25</f>
        <v/>
      </c>
      <c r="J25" s="4" t="n">
        <v>0</v>
      </c>
      <c r="K25" s="6">
        <f>J25/F25*100</f>
        <v/>
      </c>
      <c r="L25" s="6">
        <f>I25-K25</f>
        <v/>
      </c>
      <c r="M25" s="4" t="n">
        <v>3.14</v>
      </c>
      <c r="N25" s="6">
        <f>((1+L25/100)/(1+M25/100)-1)*100</f>
        <v/>
      </c>
      <c r="O25" s="4" t="n">
        <v>5.6</v>
      </c>
      <c r="P25" s="6">
        <f>((1+L25/100)/(1+O25/100)-1)*100</f>
        <v/>
      </c>
      <c r="Q25" t="inlineStr">
        <is>
          <t>C&amp;MP 11% rep / 10% cc; BP&amp;C cc not disclosed -&gt; same gap</t>
        </is>
      </c>
    </row>
    <row r="26">
      <c r="A26" t="inlineStr">
        <is>
          <t>FY25Q4</t>
        </is>
      </c>
      <c r="B26" t="inlineStr">
        <is>
          <t>Business Professionals &amp; Consumers</t>
        </is>
      </c>
      <c r="C26" t="inlineStr">
        <is>
          <t>low_10pct</t>
        </is>
      </c>
      <c r="D26" s="4" t="n">
        <v>0.1</v>
      </c>
      <c r="E26" s="4" t="n">
        <v>1720</v>
      </c>
      <c r="F26" s="4" t="n">
        <v>1496</v>
      </c>
      <c r="G26" s="6">
        <f>(E26/F26-1)*100</f>
        <v/>
      </c>
      <c r="H26" s="4" t="n">
        <v>1</v>
      </c>
      <c r="I26" s="6">
        <f>G26-H26</f>
        <v/>
      </c>
      <c r="J26" s="4" t="n">
        <v>0</v>
      </c>
      <c r="K26" s="6">
        <f>J26/F26*100</f>
        <v/>
      </c>
      <c r="L26" s="6">
        <f>I26-K26</f>
        <v/>
      </c>
      <c r="M26" s="4" t="n">
        <v>0</v>
      </c>
      <c r="N26" s="6">
        <f>((1+L26/100)/(1+M26/100)-1)*100</f>
        <v/>
      </c>
      <c r="O26" s="4" t="n">
        <v>0</v>
      </c>
      <c r="P26" s="6">
        <f>((1+L26/100)/(1+O26/100)-1)*100</f>
        <v/>
      </c>
      <c r="Q26" t="inlineStr">
        <is>
          <t>C&amp;MP 11% rep / 10% cc; BP&amp;C cc not disclosed -&gt; same gap</t>
        </is>
      </c>
    </row>
    <row r="27">
      <c r="A27" t="inlineStr">
        <is>
          <t>FY25Q4</t>
        </is>
      </c>
      <c r="B27" t="inlineStr">
        <is>
          <t>Business Professionals &amp; Consumers</t>
        </is>
      </c>
      <c r="C27" t="inlineStr">
        <is>
          <t>base_20pct</t>
        </is>
      </c>
      <c r="D27" s="4" t="n">
        <v>0.2</v>
      </c>
      <c r="E27" s="4" t="n">
        <v>1720</v>
      </c>
      <c r="F27" s="4" t="n">
        <v>1496</v>
      </c>
      <c r="G27" s="6">
        <f>(E27/F27-1)*100</f>
        <v/>
      </c>
      <c r="H27" s="4" t="n">
        <v>1</v>
      </c>
      <c r="I27" s="6">
        <f>G27-H27</f>
        <v/>
      </c>
      <c r="J27" s="4" t="n">
        <v>0</v>
      </c>
      <c r="K27" s="6">
        <f>J27/F27*100</f>
        <v/>
      </c>
      <c r="L27" s="6">
        <f>I27-K27</f>
        <v/>
      </c>
      <c r="M27" s="4" t="n">
        <v>0</v>
      </c>
      <c r="N27" s="6">
        <f>((1+L27/100)/(1+M27/100)-1)*100</f>
        <v/>
      </c>
      <c r="O27" s="4" t="n">
        <v>0</v>
      </c>
      <c r="P27" s="6">
        <f>((1+L27/100)/(1+O27/100)-1)*100</f>
        <v/>
      </c>
      <c r="Q27" t="inlineStr">
        <is>
          <t>C&amp;MP 11% rep / 10% cc; BP&amp;C cc not disclosed -&gt; same gap</t>
        </is>
      </c>
    </row>
    <row r="28">
      <c r="A28" t="inlineStr">
        <is>
          <t>FY25Q4</t>
        </is>
      </c>
      <c r="B28" t="inlineStr">
        <is>
          <t>Business Professionals &amp; Consumers</t>
        </is>
      </c>
      <c r="C28" t="inlineStr">
        <is>
          <t>high_30pct</t>
        </is>
      </c>
      <c r="D28" s="4" t="n">
        <v>0.3</v>
      </c>
      <c r="E28" s="4" t="n">
        <v>1720</v>
      </c>
      <c r="F28" s="4" t="n">
        <v>1496</v>
      </c>
      <c r="G28" s="6">
        <f>(E28/F28-1)*100</f>
        <v/>
      </c>
      <c r="H28" s="4" t="n">
        <v>1</v>
      </c>
      <c r="I28" s="6">
        <f>G28-H28</f>
        <v/>
      </c>
      <c r="J28" s="4" t="n">
        <v>0</v>
      </c>
      <c r="K28" s="6">
        <f>J28/F28*100</f>
        <v/>
      </c>
      <c r="L28" s="6">
        <f>I28-K28</f>
        <v/>
      </c>
      <c r="M28" s="4" t="n">
        <v>0</v>
      </c>
      <c r="N28" s="6">
        <f>((1+L28/100)/(1+M28/100)-1)*100</f>
        <v/>
      </c>
      <c r="O28" s="4" t="n">
        <v>0</v>
      </c>
      <c r="P28" s="6">
        <f>((1+L28/100)/(1+O28/100)-1)*100</f>
        <v/>
      </c>
      <c r="Q28" t="inlineStr">
        <is>
          <t>C&amp;MP 11% rep / 10% cc; BP&amp;C cc not disclosed -&gt; same gap</t>
        </is>
      </c>
    </row>
    <row r="29">
      <c r="A29" t="inlineStr">
        <is>
          <t>FY26Q1</t>
        </is>
      </c>
      <c r="B29" t="inlineStr">
        <is>
          <t>Creative &amp; Marketing Professionals</t>
        </is>
      </c>
      <c r="C29" t="inlineStr">
        <is>
          <t>low_10pct</t>
        </is>
      </c>
      <c r="D29" s="4" t="n">
        <v>0.1</v>
      </c>
      <c r="E29" s="4" t="n">
        <v>4389</v>
      </c>
      <c r="F29" s="4" t="n">
        <v>3920</v>
      </c>
      <c r="G29" s="6">
        <f>(E29/F29-1)*100</f>
        <v/>
      </c>
      <c r="H29" s="4" t="n">
        <v>1</v>
      </c>
      <c r="I29" s="6">
        <f>G29-H29</f>
        <v/>
      </c>
      <c r="J29" s="4" t="n">
        <v>0</v>
      </c>
      <c r="K29" s="6">
        <f>J29/F29*100</f>
        <v/>
      </c>
      <c r="L29" s="6">
        <f>I29-K29</f>
        <v/>
      </c>
      <c r="M29" s="4" t="n">
        <v>1.36</v>
      </c>
      <c r="N29" s="6">
        <f>((1+L29/100)/(1+M29/100)-1)*100</f>
        <v/>
      </c>
      <c r="O29" s="4" t="n">
        <v>1.58</v>
      </c>
      <c r="P29" s="6">
        <f>((1+L29/100)/(1+O29/100)-1)*100</f>
        <v/>
      </c>
      <c r="Q29" t="inlineStr">
        <is>
          <t>C&amp;MP 12% rep / 11% cc; BP&amp;C cc not disclosed -&gt; same gap</t>
        </is>
      </c>
    </row>
    <row r="30">
      <c r="A30" t="inlineStr">
        <is>
          <t>FY26Q1</t>
        </is>
      </c>
      <c r="B30" t="inlineStr">
        <is>
          <t>Creative &amp; Marketing Professionals</t>
        </is>
      </c>
      <c r="C30" t="inlineStr">
        <is>
          <t>base_20pct</t>
        </is>
      </c>
      <c r="D30" s="4" t="n">
        <v>0.2</v>
      </c>
      <c r="E30" s="4" t="n">
        <v>4389</v>
      </c>
      <c r="F30" s="4" t="n">
        <v>3920</v>
      </c>
      <c r="G30" s="6">
        <f>(E30/F30-1)*100</f>
        <v/>
      </c>
      <c r="H30" s="4" t="n">
        <v>1</v>
      </c>
      <c r="I30" s="6">
        <f>G30-H30</f>
        <v/>
      </c>
      <c r="J30" s="4" t="n">
        <v>0</v>
      </c>
      <c r="K30" s="6">
        <f>J30/F30*100</f>
        <v/>
      </c>
      <c r="L30" s="6">
        <f>I30-K30</f>
        <v/>
      </c>
      <c r="M30" s="4" t="n">
        <v>2.72</v>
      </c>
      <c r="N30" s="6">
        <f>((1+L30/100)/(1+M30/100)-1)*100</f>
        <v/>
      </c>
      <c r="O30" s="4" t="n">
        <v>3.17</v>
      </c>
      <c r="P30" s="6">
        <f>((1+L30/100)/(1+O30/100)-1)*100</f>
        <v/>
      </c>
      <c r="Q30" t="inlineStr">
        <is>
          <t>C&amp;MP 12% rep / 11% cc; BP&amp;C cc not disclosed -&gt; same gap</t>
        </is>
      </c>
    </row>
    <row r="31">
      <c r="A31" t="inlineStr">
        <is>
          <t>FY26Q1</t>
        </is>
      </c>
      <c r="B31" t="inlineStr">
        <is>
          <t>Creative &amp; Marketing Professionals</t>
        </is>
      </c>
      <c r="C31" t="inlineStr">
        <is>
          <t>high_30pct</t>
        </is>
      </c>
      <c r="D31" s="4" t="n">
        <v>0.3</v>
      </c>
      <c r="E31" s="4" t="n">
        <v>4389</v>
      </c>
      <c r="F31" s="4" t="n">
        <v>3920</v>
      </c>
      <c r="G31" s="6">
        <f>(E31/F31-1)*100</f>
        <v/>
      </c>
      <c r="H31" s="4" t="n">
        <v>1</v>
      </c>
      <c r="I31" s="6">
        <f>G31-H31</f>
        <v/>
      </c>
      <c r="J31" s="4" t="n">
        <v>0</v>
      </c>
      <c r="K31" s="6">
        <f>J31/F31*100</f>
        <v/>
      </c>
      <c r="L31" s="6">
        <f>I31-K31</f>
        <v/>
      </c>
      <c r="M31" s="4" t="n">
        <v>4.09</v>
      </c>
      <c r="N31" s="6">
        <f>((1+L31/100)/(1+M31/100)-1)*100</f>
        <v/>
      </c>
      <c r="O31" s="4" t="n">
        <v>4.76</v>
      </c>
      <c r="P31" s="6">
        <f>((1+L31/100)/(1+O31/100)-1)*100</f>
        <v/>
      </c>
      <c r="Q31" t="inlineStr">
        <is>
          <t>C&amp;MP 12% rep / 11% cc; BP&amp;C cc not disclosed -&gt; same gap</t>
        </is>
      </c>
    </row>
    <row r="32">
      <c r="A32" t="inlineStr">
        <is>
          <t>FY26Q1</t>
        </is>
      </c>
      <c r="B32" t="inlineStr">
        <is>
          <t>Business Professionals &amp; Consumers</t>
        </is>
      </c>
      <c r="C32" t="inlineStr">
        <is>
          <t>low_10pct</t>
        </is>
      </c>
      <c r="D32" s="4" t="n">
        <v>0.1</v>
      </c>
      <c r="E32" s="4" t="n">
        <v>1782</v>
      </c>
      <c r="F32" s="4" t="n">
        <v>1530</v>
      </c>
      <c r="G32" s="6">
        <f>(E32/F32-1)*100</f>
        <v/>
      </c>
      <c r="H32" s="4" t="n">
        <v>1</v>
      </c>
      <c r="I32" s="6">
        <f>G32-H32</f>
        <v/>
      </c>
      <c r="J32" s="4" t="n">
        <v>0</v>
      </c>
      <c r="K32" s="6">
        <f>J32/F32*100</f>
        <v/>
      </c>
      <c r="L32" s="6">
        <f>I32-K32</f>
        <v/>
      </c>
      <c r="M32" s="4" t="n">
        <v>0</v>
      </c>
      <c r="N32" s="6">
        <f>((1+L32/100)/(1+M32/100)-1)*100</f>
        <v/>
      </c>
      <c r="O32" s="4" t="n">
        <v>0</v>
      </c>
      <c r="P32" s="6">
        <f>((1+L32/100)/(1+O32/100)-1)*100</f>
        <v/>
      </c>
      <c r="Q32" t="inlineStr">
        <is>
          <t>C&amp;MP 12% rep / 11% cc; BP&amp;C cc not disclosed -&gt; same gap</t>
        </is>
      </c>
    </row>
    <row r="33">
      <c r="A33" t="inlineStr">
        <is>
          <t>FY26Q1</t>
        </is>
      </c>
      <c r="B33" t="inlineStr">
        <is>
          <t>Business Professionals &amp; Consumers</t>
        </is>
      </c>
      <c r="C33" t="inlineStr">
        <is>
          <t>base_20pct</t>
        </is>
      </c>
      <c r="D33" s="4" t="n">
        <v>0.2</v>
      </c>
      <c r="E33" s="4" t="n">
        <v>1782</v>
      </c>
      <c r="F33" s="4" t="n">
        <v>1530</v>
      </c>
      <c r="G33" s="6">
        <f>(E33/F33-1)*100</f>
        <v/>
      </c>
      <c r="H33" s="4" t="n">
        <v>1</v>
      </c>
      <c r="I33" s="6">
        <f>G33-H33</f>
        <v/>
      </c>
      <c r="J33" s="4" t="n">
        <v>0</v>
      </c>
      <c r="K33" s="6">
        <f>J33/F33*100</f>
        <v/>
      </c>
      <c r="L33" s="6">
        <f>I33-K33</f>
        <v/>
      </c>
      <c r="M33" s="4" t="n">
        <v>0</v>
      </c>
      <c r="N33" s="6">
        <f>((1+L33/100)/(1+M33/100)-1)*100</f>
        <v/>
      </c>
      <c r="O33" s="4" t="n">
        <v>0</v>
      </c>
      <c r="P33" s="6">
        <f>((1+L33/100)/(1+O33/100)-1)*100</f>
        <v/>
      </c>
      <c r="Q33" t="inlineStr">
        <is>
          <t>C&amp;MP 12% rep / 11% cc; BP&amp;C cc not disclosed -&gt; same gap</t>
        </is>
      </c>
    </row>
    <row r="34">
      <c r="A34" t="inlineStr">
        <is>
          <t>FY26Q1</t>
        </is>
      </c>
      <c r="B34" t="inlineStr">
        <is>
          <t>Business Professionals &amp; Consumers</t>
        </is>
      </c>
      <c r="C34" t="inlineStr">
        <is>
          <t>high_30pct</t>
        </is>
      </c>
      <c r="D34" s="4" t="n">
        <v>0.3</v>
      </c>
      <c r="E34" s="4" t="n">
        <v>1782</v>
      </c>
      <c r="F34" s="4" t="n">
        <v>1530</v>
      </c>
      <c r="G34" s="6">
        <f>(E34/F34-1)*100</f>
        <v/>
      </c>
      <c r="H34" s="4" t="n">
        <v>1</v>
      </c>
      <c r="I34" s="6">
        <f>G34-H34</f>
        <v/>
      </c>
      <c r="J34" s="4" t="n">
        <v>0</v>
      </c>
      <c r="K34" s="6">
        <f>J34/F34*100</f>
        <v/>
      </c>
      <c r="L34" s="6">
        <f>I34-K34</f>
        <v/>
      </c>
      <c r="M34" s="4" t="n">
        <v>0</v>
      </c>
      <c r="N34" s="6">
        <f>((1+L34/100)/(1+M34/100)-1)*100</f>
        <v/>
      </c>
      <c r="O34" s="4" t="n">
        <v>0</v>
      </c>
      <c r="P34" s="6">
        <f>((1+L34/100)/(1+O34/100)-1)*100</f>
        <v/>
      </c>
      <c r="Q34" t="inlineStr">
        <is>
          <t>C&amp;MP 12% rep / 11% cc; BP&amp;C cc not disclosed -&gt; same gap</t>
        </is>
      </c>
    </row>
    <row r="35">
      <c r="A35" t="inlineStr">
        <is>
          <t>FY26Q2</t>
        </is>
      </c>
      <c r="B35" t="inlineStr">
        <is>
          <t>Creative &amp; Marketing Professionals</t>
        </is>
      </c>
      <c r="C35" t="inlineStr">
        <is>
          <t>low_10pct</t>
        </is>
      </c>
      <c r="D35" s="4" t="n">
        <v>0.1</v>
      </c>
      <c r="E35" s="4" t="n">
        <v>4537</v>
      </c>
      <c r="F35" s="4" t="n">
        <v>4020</v>
      </c>
      <c r="G35" s="6">
        <f>(E35/F35-1)*100</f>
        <v/>
      </c>
      <c r="H35" s="4" t="n">
        <v>2</v>
      </c>
      <c r="I35" s="6">
        <f>G35-H35</f>
        <v/>
      </c>
      <c r="J35" s="4" t="n">
        <v>40</v>
      </c>
      <c r="K35" s="6">
        <f>J35/F35*100</f>
        <v/>
      </c>
      <c r="L35" s="6">
        <f>I35-K35</f>
        <v/>
      </c>
      <c r="M35" s="4" t="n">
        <v>1.6</v>
      </c>
      <c r="N35" s="6">
        <f>((1+L35/100)/(1+M35/100)-1)*100</f>
        <v/>
      </c>
      <c r="O35" s="4" t="n">
        <v>1.45</v>
      </c>
      <c r="P35" s="6">
        <f>((1+L35/100)/(1+O35/100)-1)*100</f>
        <v/>
      </c>
      <c r="Q35" t="inlineStr">
        <is>
          <t>C&amp;MP 13% rep / 11% cc; BP&amp;C 16% / 15%</t>
        </is>
      </c>
    </row>
    <row r="36">
      <c r="A36" t="inlineStr">
        <is>
          <t>FY26Q2</t>
        </is>
      </c>
      <c r="B36" t="inlineStr">
        <is>
          <t>Creative &amp; Marketing Professionals</t>
        </is>
      </c>
      <c r="C36" t="inlineStr">
        <is>
          <t>base_20pct</t>
        </is>
      </c>
      <c r="D36" s="4" t="n">
        <v>0.2</v>
      </c>
      <c r="E36" s="4" t="n">
        <v>4537</v>
      </c>
      <c r="F36" s="4" t="n">
        <v>4020</v>
      </c>
      <c r="G36" s="6">
        <f>(E36/F36-1)*100</f>
        <v/>
      </c>
      <c r="H36" s="4" t="n">
        <v>2</v>
      </c>
      <c r="I36" s="6">
        <f>G36-H36</f>
        <v/>
      </c>
      <c r="J36" s="4" t="n">
        <v>40</v>
      </c>
      <c r="K36" s="6">
        <f>J36/F36*100</f>
        <v/>
      </c>
      <c r="L36" s="6">
        <f>I36-K36</f>
        <v/>
      </c>
      <c r="M36" s="4" t="n">
        <v>3.2</v>
      </c>
      <c r="N36" s="6">
        <f>((1+L36/100)/(1+M36/100)-1)*100</f>
        <v/>
      </c>
      <c r="O36" s="4" t="n">
        <v>2.9</v>
      </c>
      <c r="P36" s="6">
        <f>((1+L36/100)/(1+O36/100)-1)*100</f>
        <v/>
      </c>
      <c r="Q36" t="inlineStr">
        <is>
          <t>C&amp;MP 13% rep / 11% cc; BP&amp;C 16% / 15%</t>
        </is>
      </c>
    </row>
    <row r="37">
      <c r="A37" t="inlineStr">
        <is>
          <t>FY26Q2</t>
        </is>
      </c>
      <c r="B37" t="inlineStr">
        <is>
          <t>Creative &amp; Marketing Professionals</t>
        </is>
      </c>
      <c r="C37" t="inlineStr">
        <is>
          <t>high_30pct</t>
        </is>
      </c>
      <c r="D37" s="4" t="n">
        <v>0.3</v>
      </c>
      <c r="E37" s="4" t="n">
        <v>4537</v>
      </c>
      <c r="F37" s="4" t="n">
        <v>4020</v>
      </c>
      <c r="G37" s="6">
        <f>(E37/F37-1)*100</f>
        <v/>
      </c>
      <c r="H37" s="4" t="n">
        <v>2</v>
      </c>
      <c r="I37" s="6">
        <f>G37-H37</f>
        <v/>
      </c>
      <c r="J37" s="4" t="n">
        <v>40</v>
      </c>
      <c r="K37" s="6">
        <f>J37/F37*100</f>
        <v/>
      </c>
      <c r="L37" s="6">
        <f>I37-K37</f>
        <v/>
      </c>
      <c r="M37" s="4" t="n">
        <v>4.82</v>
      </c>
      <c r="N37" s="6">
        <f>((1+L37/100)/(1+M37/100)-1)*100</f>
        <v/>
      </c>
      <c r="O37" s="4" t="n">
        <v>4.35</v>
      </c>
      <c r="P37" s="6">
        <f>((1+L37/100)/(1+O37/100)-1)*100</f>
        <v/>
      </c>
      <c r="Q37" t="inlineStr">
        <is>
          <t>C&amp;MP 13% rep / 11% cc; BP&amp;C 16% / 15%</t>
        </is>
      </c>
    </row>
    <row r="38">
      <c r="A38" t="inlineStr">
        <is>
          <t>FY26Q2</t>
        </is>
      </c>
      <c r="B38" t="inlineStr">
        <is>
          <t>Business Professionals &amp; Consumers</t>
        </is>
      </c>
      <c r="C38" t="inlineStr">
        <is>
          <t>low_10pct</t>
        </is>
      </c>
      <c r="D38" s="4" t="n">
        <v>0.1</v>
      </c>
      <c r="E38" s="4" t="n">
        <v>1853</v>
      </c>
      <c r="F38" s="4" t="n">
        <v>1600</v>
      </c>
      <c r="G38" s="6">
        <f>(E38/F38-1)*100</f>
        <v/>
      </c>
      <c r="H38" s="4" t="n">
        <v>1</v>
      </c>
      <c r="I38" s="6">
        <f>G38-H38</f>
        <v/>
      </c>
      <c r="J38" s="4" t="n">
        <v>0</v>
      </c>
      <c r="K38" s="6">
        <f>J38/F38*100</f>
        <v/>
      </c>
      <c r="L38" s="6">
        <f>I38-K38</f>
        <v/>
      </c>
      <c r="M38" s="4" t="n">
        <v>0</v>
      </c>
      <c r="N38" s="6">
        <f>((1+L38/100)/(1+M38/100)-1)*100</f>
        <v/>
      </c>
      <c r="O38" s="4" t="n">
        <v>0</v>
      </c>
      <c r="P38" s="6">
        <f>((1+L38/100)/(1+O38/100)-1)*100</f>
        <v/>
      </c>
      <c r="Q38" t="inlineStr">
        <is>
          <t>C&amp;MP 13% rep / 11% cc; BP&amp;C 16% / 15%</t>
        </is>
      </c>
    </row>
    <row r="39">
      <c r="A39" t="inlineStr">
        <is>
          <t>FY26Q2</t>
        </is>
      </c>
      <c r="B39" t="inlineStr">
        <is>
          <t>Business Professionals &amp; Consumers</t>
        </is>
      </c>
      <c r="C39" t="inlineStr">
        <is>
          <t>base_20pct</t>
        </is>
      </c>
      <c r="D39" s="4" t="n">
        <v>0.2</v>
      </c>
      <c r="E39" s="4" t="n">
        <v>1853</v>
      </c>
      <c r="F39" s="4" t="n">
        <v>1600</v>
      </c>
      <c r="G39" s="6">
        <f>(E39/F39-1)*100</f>
        <v/>
      </c>
      <c r="H39" s="4" t="n">
        <v>1</v>
      </c>
      <c r="I39" s="6">
        <f>G39-H39</f>
        <v/>
      </c>
      <c r="J39" s="4" t="n">
        <v>0</v>
      </c>
      <c r="K39" s="6">
        <f>J39/F39*100</f>
        <v/>
      </c>
      <c r="L39" s="6">
        <f>I39-K39</f>
        <v/>
      </c>
      <c r="M39" s="4" t="n">
        <v>0</v>
      </c>
      <c r="N39" s="6">
        <f>((1+L39/100)/(1+M39/100)-1)*100</f>
        <v/>
      </c>
      <c r="O39" s="4" t="n">
        <v>0</v>
      </c>
      <c r="P39" s="6">
        <f>((1+L39/100)/(1+O39/100)-1)*100</f>
        <v/>
      </c>
      <c r="Q39" t="inlineStr">
        <is>
          <t>C&amp;MP 13% rep / 11% cc; BP&amp;C 16% / 15%</t>
        </is>
      </c>
    </row>
    <row r="40">
      <c r="A40" t="inlineStr">
        <is>
          <t>FY26Q2</t>
        </is>
      </c>
      <c r="B40" t="inlineStr">
        <is>
          <t>Business Professionals &amp; Consumers</t>
        </is>
      </c>
      <c r="C40" t="inlineStr">
        <is>
          <t>high_30pct</t>
        </is>
      </c>
      <c r="D40" s="4" t="n">
        <v>0.3</v>
      </c>
      <c r="E40" s="4" t="n">
        <v>1853</v>
      </c>
      <c r="F40" s="4" t="n">
        <v>1600</v>
      </c>
      <c r="G40" s="6">
        <f>(E40/F40-1)*100</f>
        <v/>
      </c>
      <c r="H40" s="4" t="n">
        <v>1</v>
      </c>
      <c r="I40" s="6">
        <f>G40-H40</f>
        <v/>
      </c>
      <c r="J40" s="4" t="n">
        <v>0</v>
      </c>
      <c r="K40" s="6">
        <f>J40/F40*100</f>
        <v/>
      </c>
      <c r="L40" s="6">
        <f>I40-K40</f>
        <v/>
      </c>
      <c r="M40" s="4" t="n">
        <v>0</v>
      </c>
      <c r="N40" s="6">
        <f>((1+L40/100)/(1+M40/100)-1)*100</f>
        <v/>
      </c>
      <c r="O40" s="4" t="n">
        <v>0</v>
      </c>
      <c r="P40" s="6">
        <f>((1+L40/100)/(1+O40/100)-1)*100</f>
        <v/>
      </c>
      <c r="Q40" t="inlineStr">
        <is>
          <t>C&amp;MP 13% rep / 11% cc; BP&amp;C 16% / 15%</t>
        </is>
      </c>
    </row>
    <row r="41">
      <c r="A41" t="inlineStr">
        <is>
          <t>FY26Q3</t>
        </is>
      </c>
      <c r="B41" t="inlineStr">
        <is>
          <t>Creative &amp; Marketing Professionals</t>
        </is>
      </c>
      <c r="C41" t="inlineStr">
        <is>
          <t>low_10pct</t>
        </is>
      </c>
      <c r="D41" s="4" t="n">
        <v>0.1</v>
      </c>
      <c r="E41" s="4" t="n">
        <v>4651</v>
      </c>
      <c r="F41" s="4" t="n">
        <v>4117</v>
      </c>
      <c r="G41" s="6">
        <f>(E41/F41-1)*100</f>
        <v/>
      </c>
      <c r="H41" s="4" t="n">
        <v>1</v>
      </c>
      <c r="I41" s="6">
        <f>G41-H41</f>
        <v/>
      </c>
      <c r="J41" s="4" t="n">
        <v>120</v>
      </c>
      <c r="K41" s="6">
        <f>J41/F41*100</f>
        <v/>
      </c>
      <c r="L41" s="6">
        <f>I41-K41</f>
        <v/>
      </c>
      <c r="M41" s="4" t="n">
        <v>1.4</v>
      </c>
      <c r="N41" s="6">
        <f>((1+L41/100)/(1+M41/100)-1)*100</f>
        <v/>
      </c>
      <c r="O41" s="4" t="n">
        <v>0.15</v>
      </c>
      <c r="P41" s="6">
        <f>((1+L41/100)/(1+O41/100)-1)*100</f>
        <v/>
      </c>
      <c r="Q41" t="inlineStr">
        <is>
          <t>C&amp;MP 13% rep / 12% cc; BP&amp;C 16% / 15%</t>
        </is>
      </c>
    </row>
    <row r="42">
      <c r="A42" t="inlineStr">
        <is>
          <t>FY26Q3</t>
        </is>
      </c>
      <c r="B42" t="inlineStr">
        <is>
          <t>Creative &amp; Marketing Professionals</t>
        </is>
      </c>
      <c r="C42" t="inlineStr">
        <is>
          <t>base_20pct</t>
        </is>
      </c>
      <c r="D42" s="4" t="n">
        <v>0.2</v>
      </c>
      <c r="E42" s="4" t="n">
        <v>4651</v>
      </c>
      <c r="F42" s="4" t="n">
        <v>4117</v>
      </c>
      <c r="G42" s="6">
        <f>(E42/F42-1)*100</f>
        <v/>
      </c>
      <c r="H42" s="4" t="n">
        <v>1</v>
      </c>
      <c r="I42" s="6">
        <f>G42-H42</f>
        <v/>
      </c>
      <c r="J42" s="4" t="n">
        <v>120</v>
      </c>
      <c r="K42" s="6">
        <f>J42/F42*100</f>
        <v/>
      </c>
      <c r="L42" s="6">
        <f>I42-K42</f>
        <v/>
      </c>
      <c r="M42" s="4" t="n">
        <v>2.8</v>
      </c>
      <c r="N42" s="6">
        <f>((1+L42/100)/(1+M42/100)-1)*100</f>
        <v/>
      </c>
      <c r="O42" s="4" t="n">
        <v>0.3</v>
      </c>
      <c r="P42" s="6">
        <f>((1+L42/100)/(1+O42/100)-1)*100</f>
        <v/>
      </c>
      <c r="Q42" t="inlineStr">
        <is>
          <t>C&amp;MP 13% rep / 12% cc; BP&amp;C 16% / 15%</t>
        </is>
      </c>
    </row>
    <row r="43">
      <c r="A43" t="inlineStr">
        <is>
          <t>FY26Q3</t>
        </is>
      </c>
      <c r="B43" t="inlineStr">
        <is>
          <t>Creative &amp; Marketing Professionals</t>
        </is>
      </c>
      <c r="C43" t="inlineStr">
        <is>
          <t>high_30pct</t>
        </is>
      </c>
      <c r="D43" s="4" t="n">
        <v>0.3</v>
      </c>
      <c r="E43" s="4" t="n">
        <v>4651</v>
      </c>
      <c r="F43" s="4" t="n">
        <v>4117</v>
      </c>
      <c r="G43" s="6">
        <f>(E43/F43-1)*100</f>
        <v/>
      </c>
      <c r="H43" s="4" t="n">
        <v>1</v>
      </c>
      <c r="I43" s="6">
        <f>G43-H43</f>
        <v/>
      </c>
      <c r="J43" s="4" t="n">
        <v>120</v>
      </c>
      <c r="K43" s="6">
        <f>J43/F43*100</f>
        <v/>
      </c>
      <c r="L43" s="6">
        <f>I43-K43</f>
        <v/>
      </c>
      <c r="M43" s="4" t="n">
        <v>4.19</v>
      </c>
      <c r="N43" s="6">
        <f>((1+L43/100)/(1+M43/100)-1)*100</f>
        <v/>
      </c>
      <c r="O43" s="4" t="n">
        <v>0.45</v>
      </c>
      <c r="P43" s="6">
        <f>((1+L43/100)/(1+O43/100)-1)*100</f>
        <v/>
      </c>
      <c r="Q43" t="inlineStr">
        <is>
          <t>C&amp;MP 13% rep / 12% cc; BP&amp;C 16% / 15%</t>
        </is>
      </c>
    </row>
    <row r="44">
      <c r="A44" t="inlineStr">
        <is>
          <t>FY26Q3</t>
        </is>
      </c>
      <c r="B44" t="inlineStr">
        <is>
          <t>Business Professionals &amp; Consumers</t>
        </is>
      </c>
      <c r="C44" t="inlineStr">
        <is>
          <t>low_10pct</t>
        </is>
      </c>
      <c r="D44" s="4" t="n">
        <v>0.1</v>
      </c>
      <c r="E44" s="4" t="n">
        <v>1905</v>
      </c>
      <c r="F44" s="4" t="n">
        <v>1648</v>
      </c>
      <c r="G44" s="6">
        <f>(E44/F44-1)*100</f>
        <v/>
      </c>
      <c r="H44" s="4" t="n">
        <v>1</v>
      </c>
      <c r="I44" s="6">
        <f>G44-H44</f>
        <v/>
      </c>
      <c r="J44" s="4" t="n">
        <v>0</v>
      </c>
      <c r="K44" s="6">
        <f>J44/F44*100</f>
        <v/>
      </c>
      <c r="L44" s="6">
        <f>I44-K44</f>
        <v/>
      </c>
      <c r="M44" s="4" t="n">
        <v>0.02</v>
      </c>
      <c r="N44" s="6">
        <f>((1+L44/100)/(1+M44/100)-1)*100</f>
        <v/>
      </c>
      <c r="O44" s="4" t="n">
        <v>0.13</v>
      </c>
      <c r="P44" s="6">
        <f>((1+L44/100)/(1+O44/100)-1)*100</f>
        <v/>
      </c>
      <c r="Q44" t="inlineStr">
        <is>
          <t>C&amp;MP 13% rep / 12% cc; BP&amp;C 16% / 15%</t>
        </is>
      </c>
    </row>
    <row r="45">
      <c r="A45" t="inlineStr">
        <is>
          <t>FY26Q3</t>
        </is>
      </c>
      <c r="B45" t="inlineStr">
        <is>
          <t>Business Professionals &amp; Consumers</t>
        </is>
      </c>
      <c r="C45" t="inlineStr">
        <is>
          <t>base_20pct</t>
        </is>
      </c>
      <c r="D45" s="4" t="n">
        <v>0.2</v>
      </c>
      <c r="E45" s="4" t="n">
        <v>1905</v>
      </c>
      <c r="F45" s="4" t="n">
        <v>1648</v>
      </c>
      <c r="G45" s="6">
        <f>(E45/F45-1)*100</f>
        <v/>
      </c>
      <c r="H45" s="4" t="n">
        <v>1</v>
      </c>
      <c r="I45" s="6">
        <f>G45-H45</f>
        <v/>
      </c>
      <c r="J45" s="4" t="n">
        <v>0</v>
      </c>
      <c r="K45" s="6">
        <f>J45/F45*100</f>
        <v/>
      </c>
      <c r="L45" s="6">
        <f>I45-K45</f>
        <v/>
      </c>
      <c r="M45" s="4" t="n">
        <v>0.04</v>
      </c>
      <c r="N45" s="6">
        <f>((1+L45/100)/(1+M45/100)-1)*100</f>
        <v/>
      </c>
      <c r="O45" s="4" t="n">
        <v>0.26</v>
      </c>
      <c r="P45" s="6">
        <f>((1+L45/100)/(1+O45/100)-1)*100</f>
        <v/>
      </c>
      <c r="Q45" t="inlineStr">
        <is>
          <t>C&amp;MP 13% rep / 12% cc; BP&amp;C 16% / 15%</t>
        </is>
      </c>
    </row>
    <row r="46">
      <c r="A46" t="inlineStr">
        <is>
          <t>FY26Q3</t>
        </is>
      </c>
      <c r="B46" t="inlineStr">
        <is>
          <t>Business Professionals &amp; Consumers</t>
        </is>
      </c>
      <c r="C46" t="inlineStr">
        <is>
          <t>high_30pct</t>
        </is>
      </c>
      <c r="D46" s="4" t="n">
        <v>0.3</v>
      </c>
      <c r="E46" s="4" t="n">
        <v>1905</v>
      </c>
      <c r="F46" s="4" t="n">
        <v>1648</v>
      </c>
      <c r="G46" s="6">
        <f>(E46/F46-1)*100</f>
        <v/>
      </c>
      <c r="H46" s="4" t="n">
        <v>1</v>
      </c>
      <c r="I46" s="6">
        <f>G46-H46</f>
        <v/>
      </c>
      <c r="J46" s="4" t="n">
        <v>0</v>
      </c>
      <c r="K46" s="6">
        <f>J46/F46*100</f>
        <v/>
      </c>
      <c r="L46" s="6">
        <f>I46-K46</f>
        <v/>
      </c>
      <c r="M46" s="4" t="n">
        <v>0.06</v>
      </c>
      <c r="N46" s="6">
        <f>((1+L46/100)/(1+M46/100)-1)*100</f>
        <v/>
      </c>
      <c r="O46" s="4" t="n">
        <v>0.39</v>
      </c>
      <c r="P46" s="6">
        <f>((1+L46/100)/(1+O46/100)-1)*100</f>
        <v/>
      </c>
      <c r="Q46" t="inlineStr">
        <is>
          <t>C&amp;MP 13% rep / 12% cc; BP&amp;C 16% / 15%</t>
        </is>
      </c>
    </row>
    <row r="47"/>
    <row r="48">
      <c r="A48" s="1" t="inlineStr">
        <is>
          <t>Price-change log (ws1 data/price_log.csv; list prices, US unless noted)</t>
        </is>
      </c>
    </row>
    <row r="49">
      <c r="A49" s="3" t="inlineStr">
        <is>
          <t>effective_date</t>
        </is>
      </c>
      <c r="B49" s="3" t="inlineStr">
        <is>
          <t>announce_date</t>
        </is>
      </c>
      <c r="C49" s="3" t="inlineStr">
        <is>
          <t>product</t>
        </is>
      </c>
      <c r="D49" s="3" t="inlineStr">
        <is>
          <t>plan_type</t>
        </is>
      </c>
      <c r="E49" s="3" t="inlineStr">
        <is>
          <t>region</t>
        </is>
      </c>
      <c r="F49" s="3" t="inlineStr">
        <is>
          <t>old_price</t>
        </is>
      </c>
      <c r="G49" s="3" t="inlineStr">
        <is>
          <t>new_price</t>
        </is>
      </c>
      <c r="H49" s="3" t="inlineStr">
        <is>
          <t>pct_change</t>
        </is>
      </c>
      <c r="I49" s="3" t="inlineStr">
        <is>
          <t>applies_to</t>
        </is>
      </c>
      <c r="J49" s="3" t="inlineStr">
        <is>
          <t>source_url</t>
        </is>
      </c>
      <c r="K49" s="3" t="inlineStr">
        <is>
          <t>notes</t>
        </is>
      </c>
    </row>
    <row r="50">
      <c r="A50" t="inlineStr">
        <is>
          <t>2022-04-27</t>
        </is>
      </c>
      <c r="B50" t="inlineStr">
        <is>
          <t>2022-03-22</t>
        </is>
      </c>
      <c r="C50" t="inlineStr">
        <is>
          <t>Creative Cloud for teams All Apps</t>
        </is>
      </c>
      <c r="D50" t="inlineStr">
        <is>
          <t>teams, annual (per license/mo)</t>
        </is>
      </c>
      <c r="E50" t="inlineStr">
        <is>
          <t>North America</t>
        </is>
      </c>
      <c r="F50" s="4" t="n">
        <v>79.98999999999999</v>
      </c>
      <c r="G50" s="4" t="n">
        <v>84.98999999999999</v>
      </c>
      <c r="H50" s="7">
        <f>(G50/F50-1)*100</f>
        <v/>
      </c>
      <c r="I50" t="inlineStr">
        <is>
          <t>renewal</t>
        </is>
      </c>
      <c r="J50" t="inlineStr">
        <is>
          <t>https://blog.adobe.com/en/publish/2022/03/22/creative-cloud-offering-price-update</t>
        </is>
      </c>
      <c r="K50" t="inlineStr">
        <is>
          <t>Applied at next renewal on/after 2022-04-27; enterprise (ETLA) also raised, amounts not public. Adobe blog.</t>
        </is>
      </c>
    </row>
    <row r="51">
      <c r="A51" t="inlineStr">
        <is>
          <t>2022-04-27</t>
        </is>
      </c>
      <c r="B51" t="inlineStr">
        <is>
          <t>2022-03-22</t>
        </is>
      </c>
      <c r="C51" t="inlineStr">
        <is>
          <t>Creative Cloud for teams Single App</t>
        </is>
      </c>
      <c r="D51" t="inlineStr">
        <is>
          <t>teams, annual (per license/mo)</t>
        </is>
      </c>
      <c r="E51" t="inlineStr">
        <is>
          <t>North America</t>
        </is>
      </c>
      <c r="F51" s="4" t="n">
        <v>33.99</v>
      </c>
      <c r="G51" s="4" t="n">
        <v>35.99</v>
      </c>
      <c r="H51" s="7">
        <f>(G51/F51-1)*100</f>
        <v/>
      </c>
      <c r="I51" t="inlineStr">
        <is>
          <t>renewal</t>
        </is>
      </c>
      <c r="J51" t="inlineStr">
        <is>
          <t>https://www.cgchannel.com/2022/03/adobe-to-raise-price-of-creative-cloud-subscriptions/</t>
        </is>
      </c>
      <c r="K51" t="inlineStr">
        <is>
          <t>Teams single-app +$2; individual single-app plans explicitly unchanged in 2022.</t>
        </is>
      </c>
    </row>
    <row r="52">
      <c r="A52" t="inlineStr">
        <is>
          <t>2022-04-27</t>
        </is>
      </c>
      <c r="B52" t="inlineStr">
        <is>
          <t>2022-03-22</t>
        </is>
      </c>
      <c r="C52" t="inlineStr">
        <is>
          <t>Creative Cloud All Apps (individual)</t>
        </is>
      </c>
      <c r="D52" t="inlineStr">
        <is>
          <t>individual, month-to-month</t>
        </is>
      </c>
      <c r="E52" t="inlineStr">
        <is>
          <t>North America</t>
        </is>
      </c>
      <c r="F52" s="4" t="n">
        <v>79.48999999999999</v>
      </c>
      <c r="G52" s="4" t="n">
        <v>82.48999999999999</v>
      </c>
      <c r="H52" s="7">
        <f>(G52/F52-1)*100</f>
        <v/>
      </c>
      <c r="I52" t="inlineStr">
        <is>
          <t>renewal</t>
        </is>
      </c>
      <c r="J52" t="inlineStr">
        <is>
          <t>https://blog.adobe.com/en/publish/2022/03/22/creative-cloud-offering-price-update</t>
        </is>
      </c>
      <c r="K52" t="inlineStr">
        <is>
          <t>Only the month-to-month individual All Apps plan changed in 2022; annual plans unchanged.</t>
        </is>
      </c>
    </row>
    <row r="53">
      <c r="A53" t="inlineStr">
        <is>
          <t>2022-08-08</t>
        </is>
      </c>
      <c r="B53" t="inlineStr">
        <is>
          <t>2022-08-08</t>
        </is>
      </c>
      <c r="C53" t="inlineStr">
        <is>
          <t>Acrobat Pro (individual)</t>
        </is>
      </c>
      <c r="D53" t="inlineStr">
        <is>
          <t>individual, annual billed monthly</t>
        </is>
      </c>
      <c r="E53" t="inlineStr">
        <is>
          <t>US</t>
        </is>
      </c>
      <c r="F53" s="4" t="n">
        <v>14.99</v>
      </c>
      <c r="G53" s="4" t="n">
        <v>19.99</v>
      </c>
      <c r="H53" s="7">
        <f>(G53/F53-1)*100</f>
        <v/>
      </c>
      <c r="I53" t="inlineStr">
        <is>
          <t>new</t>
        </is>
      </c>
      <c r="J53" t="inlineStr">
        <is>
          <t>https://www.schneider.im/adobe-acrobat-pro-price-increase-reminder/</t>
        </is>
      </c>
      <c r="K53" t="inlineStr">
        <is>
          <t>Adobe described the Acrobat Pro increase as ~40% (some SKUs); community reports $15-&gt;$20/mo. New customers from 2022-08-08.</t>
        </is>
      </c>
    </row>
    <row r="54">
      <c r="A54" t="inlineStr">
        <is>
          <t>2023-07-01</t>
        </is>
      </c>
      <c r="B54" t="inlineStr">
        <is>
          <t>2022-08-08</t>
        </is>
      </c>
      <c r="C54" t="inlineStr">
        <is>
          <t>Acrobat Pro (individual) - existing subscribers</t>
        </is>
      </c>
      <c r="D54" t="inlineStr">
        <is>
          <t>individual, annual billed monthly</t>
        </is>
      </c>
      <c r="E54" t="inlineStr">
        <is>
          <t>US</t>
        </is>
      </c>
      <c r="F54" s="4" t="n">
        <v>14.99</v>
      </c>
      <c r="G54" s="4" t="n">
        <v>19.99</v>
      </c>
      <c r="H54" s="7">
        <f>(G54/F54-1)*100</f>
        <v/>
      </c>
      <c r="I54" t="inlineStr">
        <is>
          <t>renewal</t>
        </is>
      </c>
      <c r="J54" t="inlineStr">
        <is>
          <t>https://community.adobe.com/t5/acrobat-discussions/2023-price-increase-for-adobe-pro/m-p/13536125</t>
        </is>
      </c>
      <c r="K54" t="inlineStr">
        <is>
          <t>Existing subscribers with an active licence at 2022-08-08 repriced from 2023-07-01 at renewal.</t>
        </is>
      </c>
    </row>
    <row r="55">
      <c r="A55" t="inlineStr">
        <is>
          <t>2023-11-01</t>
        </is>
      </c>
      <c r="B55" t="inlineStr">
        <is>
          <t>2023-09-13</t>
        </is>
      </c>
      <c r="C55" t="inlineStr">
        <is>
          <t>Creative Cloud All Apps (individual)</t>
        </is>
      </c>
      <c r="D55" t="inlineStr">
        <is>
          <t>individual, annual billed monthly</t>
        </is>
      </c>
      <c r="E55" t="inlineStr">
        <is>
          <t>NA, Central/South America, Europe</t>
        </is>
      </c>
      <c r="F55" s="4" t="n">
        <v>54.99</v>
      </c>
      <c r="G55" s="4" t="n">
        <v>59.99</v>
      </c>
      <c r="H55" s="7">
        <f>(G55/F55-1)*100</f>
        <v/>
      </c>
      <c r="I55" t="inlineStr">
        <is>
          <t>all</t>
        </is>
      </c>
      <c r="J55" t="inlineStr">
        <is>
          <t>https://blog.adobe.com/en/publish/2023/09/13/ai-creative-cloud-release-pricing-update</t>
        </is>
      </c>
      <c r="K55" t="inlineStr">
        <is>
          <t>New subscribers immediately; existing at next renewal. Firefly generative credits bundled. Adobe blog + helpx.</t>
        </is>
      </c>
    </row>
    <row r="56">
      <c r="A56" t="inlineStr">
        <is>
          <t>2023-11-01</t>
        </is>
      </c>
      <c r="B56" t="inlineStr">
        <is>
          <t>2023-09-13</t>
        </is>
      </c>
      <c r="C56" t="inlineStr">
        <is>
          <t>Creative Cloud All Apps (individual)</t>
        </is>
      </c>
      <c r="D56" t="inlineStr">
        <is>
          <t>individual, month-to-month</t>
        </is>
      </c>
      <c r="E56" t="inlineStr">
        <is>
          <t>NA, Central/South America, Europe</t>
        </is>
      </c>
      <c r="F56" s="4" t="n">
        <v>82.48999999999999</v>
      </c>
      <c r="G56" s="4" t="n">
        <v>89.98999999999999</v>
      </c>
      <c r="H56" s="7">
        <f>(G56/F56-1)*100</f>
        <v/>
      </c>
      <c r="I56" t="inlineStr">
        <is>
          <t>all</t>
        </is>
      </c>
      <c r="J56" t="inlineStr">
        <is>
          <t>https://www.dpreview.com/news/1676880155/adobe-increases-creative-cloud-pricing-takes-firefly-out-of-beta/</t>
        </is>
      </c>
      <c r="K56" t="inlineStr">
        <is>
          <t>dpreview quotes $82.50-&gt;$90.</t>
        </is>
      </c>
    </row>
    <row r="57">
      <c r="A57" t="inlineStr">
        <is>
          <t>2023-11-01</t>
        </is>
      </c>
      <c r="B57" t="inlineStr">
        <is>
          <t>2023-09-13</t>
        </is>
      </c>
      <c r="C57" t="inlineStr">
        <is>
          <t>Creative Cloud Single App (Photoshop, Illustrator, Premiere Pro etc.)</t>
        </is>
      </c>
      <c r="D57" t="inlineStr">
        <is>
          <t>individual, annual billed monthly</t>
        </is>
      </c>
      <c r="E57" t="inlineStr">
        <is>
          <t>NA, Central/South America, Europe</t>
        </is>
      </c>
      <c r="F57" s="4" t="n">
        <v>20.99</v>
      </c>
      <c r="G57" s="4" t="n">
        <v>22.99</v>
      </c>
      <c r="H57" s="7">
        <f>(G57/F57-1)*100</f>
        <v/>
      </c>
      <c r="I57" t="inlineStr">
        <is>
          <t>all</t>
        </is>
      </c>
      <c r="J57" t="inlineStr">
        <is>
          <t>https://helpx.adobe.com/sg/x-productkb/policy-pricing/subscription-price-increase-2023-individual-plans.html</t>
        </is>
      </c>
      <c r="K57" t="inlineStr">
        <is>
          <t>PetaPixel: $21-&gt;$23/mo annual-billed-monthly.</t>
        </is>
      </c>
    </row>
    <row r="58">
      <c r="A58" t="inlineStr">
        <is>
          <t>2023-11-01</t>
        </is>
      </c>
      <c r="B58" t="inlineStr">
        <is>
          <t>2023-09-13</t>
        </is>
      </c>
      <c r="C58" t="inlineStr">
        <is>
          <t>Creative Cloud Single App</t>
        </is>
      </c>
      <c r="D58" t="inlineStr">
        <is>
          <t>individual, month-to-month</t>
        </is>
      </c>
      <c r="E58" t="inlineStr">
        <is>
          <t>NA, Central/South America, Europe</t>
        </is>
      </c>
      <c r="F58" s="4" t="n">
        <v>31.49</v>
      </c>
      <c r="G58" s="4" t="n">
        <v>34.49</v>
      </c>
      <c r="H58" s="7">
        <f>(G58/F58-1)*100</f>
        <v/>
      </c>
      <c r="I58" t="inlineStr">
        <is>
          <t>all</t>
        </is>
      </c>
      <c r="J58" t="inlineStr">
        <is>
          <t>https://petapixel.com/2023/09/15/adobe-hikes-creative-cloud-prices-as-it-reports-record-revenue/</t>
        </is>
      </c>
      <c r="K58" t="inlineStr">
        <is>
          <t>PetaPixel/dpreview: $31.50-&gt;$34.50.</t>
        </is>
      </c>
    </row>
    <row r="59">
      <c r="A59" t="inlineStr">
        <is>
          <t>2023-11-01</t>
        </is>
      </c>
      <c r="B59" t="inlineStr">
        <is>
          <t>2023-09-13</t>
        </is>
      </c>
      <c r="C59" t="inlineStr">
        <is>
          <t>Creative Cloud for teams All Apps</t>
        </is>
      </c>
      <c r="D59" t="inlineStr">
        <is>
          <t>teams, annual (per license/mo)</t>
        </is>
      </c>
      <c r="E59" t="inlineStr">
        <is>
          <t>NA, Central/South America, Europe</t>
        </is>
      </c>
      <c r="F59" s="4" t="n">
        <v>84.98999999999999</v>
      </c>
      <c r="G59" s="4" t="n">
        <v>89.98999999999999</v>
      </c>
      <c r="H59" s="7">
        <f>(G59/F59-1)*100</f>
        <v/>
      </c>
      <c r="I59" t="inlineStr">
        <is>
          <t>renewal</t>
        </is>
      </c>
      <c r="J59" t="inlineStr">
        <is>
          <t>https://helpx.adobe.com/x-productkb/policy-pricing/subscription-price-increase-2023-enterprise-teams.html</t>
        </is>
      </c>
      <c r="K59" t="inlineStr">
        <is>
          <t>helpx 'Creative Cloud for teams and enterprise 2023 pricing changes'.</t>
        </is>
      </c>
    </row>
    <row r="60">
      <c r="A60" t="inlineStr">
        <is>
          <t>2023-11-01</t>
        </is>
      </c>
      <c r="B60" t="inlineStr">
        <is>
          <t>2023-09-13</t>
        </is>
      </c>
      <c r="C60" t="inlineStr">
        <is>
          <t>Creative Cloud for teams Single App</t>
        </is>
      </c>
      <c r="D60" t="inlineStr">
        <is>
          <t>teams, annual (per license/mo)</t>
        </is>
      </c>
      <c r="E60" t="inlineStr">
        <is>
          <t>NA, Central/South America, Europe</t>
        </is>
      </c>
      <c r="F60" s="4" t="n">
        <v>35.99</v>
      </c>
      <c r="G60" s="4" t="n">
        <v>37.99</v>
      </c>
      <c r="H60" s="7">
        <f>(G60/F60-1)*100</f>
        <v/>
      </c>
      <c r="I60" t="inlineStr">
        <is>
          <t>renewal</t>
        </is>
      </c>
      <c r="J60" t="inlineStr">
        <is>
          <t>https://helpx.adobe.com/x-productkb/policy-pricing/subscription-price-increase-2023-enterprise-teams.html</t>
        </is>
      </c>
    </row>
    <row r="61">
      <c r="A61" t="inlineStr">
        <is>
          <t>2023-11-01</t>
        </is>
      </c>
      <c r="B61" t="inlineStr">
        <is>
          <t>2023-09-13</t>
        </is>
      </c>
      <c r="C61" t="inlineStr">
        <is>
          <t>Firefly Premium (100 credits/mo) - NEW SKU</t>
        </is>
      </c>
      <c r="D61" t="inlineStr">
        <is>
          <t>individual, monthly</t>
        </is>
      </c>
      <c r="E61" t="inlineStr">
        <is>
          <t>Global</t>
        </is>
      </c>
      <c r="F61" s="4" t="n"/>
      <c r="G61" s="4" t="n">
        <v>4.99</v>
      </c>
      <c r="H61" s="4" t="n"/>
      <c r="I61" t="inlineStr">
        <is>
          <t>new</t>
        </is>
      </c>
      <c r="J61" t="inlineStr">
        <is>
          <t>https://www.dpreview.com/news/1676880155/adobe-increases-creative-cloud-pricing-takes-firefly-out-of-beta/</t>
        </is>
      </c>
      <c r="K61" t="inlineStr">
        <is>
          <t>New add-on SKU, not a price change (excluded from price model).</t>
        </is>
      </c>
    </row>
    <row r="62">
      <c r="A62" t="inlineStr">
        <is>
          <t>2024-03-05</t>
        </is>
      </c>
      <c r="B62" t="inlineStr">
        <is>
          <t>2023-09-13</t>
        </is>
      </c>
      <c r="C62" t="inlineStr">
        <is>
          <t>Nov-2023 wave extended to Africa, Asia, Australia</t>
        </is>
      </c>
      <c r="D62" t="inlineStr">
        <is>
          <t>individual + teams</t>
        </is>
      </c>
      <c r="E62" t="inlineStr">
        <is>
          <t>Africa, Asia, Australia</t>
        </is>
      </c>
      <c r="F62" s="4" t="n"/>
      <c r="G62" s="4" t="n"/>
      <c r="H62" s="4" t="n"/>
      <c r="I62" t="inlineStr">
        <is>
          <t>all</t>
        </is>
      </c>
      <c r="J62" t="inlineStr">
        <is>
          <t>https://helpx.adobe.com/sg/x-productkb/policy-pricing/subscription-price-increase-2023-individual-plans.html</t>
        </is>
      </c>
      <c r="K62" t="inlineStr">
        <is>
          <t>Same ~10% structure as Nov-2023; local-currency amounts not captured.</t>
        </is>
      </c>
    </row>
    <row r="63">
      <c r="A63" t="inlineStr">
        <is>
          <t>2025-01-15</t>
        </is>
      </c>
      <c r="B63" t="inlineStr">
        <is>
          <t>2024-12-15</t>
        </is>
      </c>
      <c r="C63" t="inlineStr">
        <is>
          <t>Photography plan 20GB (Photoshop+Lightroom)</t>
        </is>
      </c>
      <c r="D63" t="inlineStr">
        <is>
          <t>individual, annual billed monthly</t>
        </is>
      </c>
      <c r="E63" t="inlineStr">
        <is>
          <t>Worldwide</t>
        </is>
      </c>
      <c r="F63" s="4" t="n">
        <v>9.99</v>
      </c>
      <c r="G63" s="4" t="n">
        <v>14.99</v>
      </c>
      <c r="H63" s="7">
        <f>(G63/F63-1)*100</f>
        <v/>
      </c>
      <c r="I63" t="inlineStr">
        <is>
          <t>renewal</t>
        </is>
      </c>
      <c r="J63" t="inlineStr">
        <is>
          <t>https://blog.adobe.com/en/publish/2024/12/15/all-new-photography-innovations-pricing-updates</t>
        </is>
      </c>
      <c r="K63" t="inlineStr">
        <is>
          <t>Existing monthly-billed subscribers +50% at renewal; could keep $9.99 equivalent by switching to prepaid annual ($119.88). Retired for NEW subscribers.</t>
        </is>
      </c>
    </row>
    <row r="64">
      <c r="A64" t="inlineStr">
        <is>
          <t>2025-01-15</t>
        </is>
      </c>
      <c r="B64" t="inlineStr">
        <is>
          <t>2024-12-15</t>
        </is>
      </c>
      <c r="C64" t="inlineStr">
        <is>
          <t>Photography plan - new-subscriber entry point (20GB retired, 1TB only)</t>
        </is>
      </c>
      <c r="D64" t="inlineStr">
        <is>
          <t>individual, annual billed monthly</t>
        </is>
      </c>
      <c r="E64" t="inlineStr">
        <is>
          <t>Worldwide</t>
        </is>
      </c>
      <c r="F64" s="4" t="n">
        <v>9.99</v>
      </c>
      <c r="G64" s="4" t="n">
        <v>19.99</v>
      </c>
      <c r="H64" s="7">
        <f>(G64/F64-1)*100</f>
        <v/>
      </c>
      <c r="I64" t="inlineStr">
        <is>
          <t>new</t>
        </is>
      </c>
      <c r="J64" t="inlineStr">
        <is>
          <t>https://petapixel.com/2024/12/18/adobe-is-ditching-their-cheapest-photography-plan-for-new-customers-now-what/</t>
        </is>
      </c>
      <c r="K64" t="inlineStr">
        <is>
          <t>Mix effect for new subscribers only; 1TB plan price itself unchanged at $19.99.</t>
        </is>
      </c>
    </row>
    <row r="65">
      <c r="A65" t="inlineStr">
        <is>
          <t>2025-01-15</t>
        </is>
      </c>
      <c r="B65" t="inlineStr">
        <is>
          <t>2024-12-15</t>
        </is>
      </c>
      <c r="C65" t="inlineStr">
        <is>
          <t>Lightroom (1TB) plan</t>
        </is>
      </c>
      <c r="D65" t="inlineStr">
        <is>
          <t>individual, annual billed monthly</t>
        </is>
      </c>
      <c r="E65" t="inlineStr">
        <is>
          <t>Worldwide</t>
        </is>
      </c>
      <c r="F65" s="4" t="n">
        <v>9.99</v>
      </c>
      <c r="G65" s="4" t="n">
        <v>11.99</v>
      </c>
      <c r="H65" s="7">
        <f>(G65/F65-1)*100</f>
        <v/>
      </c>
      <c r="I65" t="inlineStr">
        <is>
          <t>all</t>
        </is>
      </c>
      <c r="J65" t="inlineStr">
        <is>
          <t>https://blog.adobe.com/en/publish/2024/12/15/all-new-photography-innovations-pricing-updates</t>
        </is>
      </c>
      <c r="K65" t="inlineStr">
        <is>
          <t>Prepaid annual unchanged at $119.88; Lightroom Classic added to plan.</t>
        </is>
      </c>
    </row>
    <row r="66">
      <c r="A66" t="inlineStr">
        <is>
          <t>2025-02-12</t>
        </is>
      </c>
      <c r="B66" t="inlineStr">
        <is>
          <t>2025-02-12</t>
        </is>
      </c>
      <c r="C66" t="inlineStr">
        <is>
          <t>Firefly Standard - NEW SKU</t>
        </is>
      </c>
      <c r="D66" t="inlineStr">
        <is>
          <t>individual, monthly</t>
        </is>
      </c>
      <c r="E66" t="inlineStr">
        <is>
          <t>Global</t>
        </is>
      </c>
      <c r="F66" s="4" t="n"/>
      <c r="G66" s="4" t="n">
        <v>9.99</v>
      </c>
      <c r="H66" s="4" t="n"/>
      <c r="I66" t="inlineStr">
        <is>
          <t>new</t>
        </is>
      </c>
      <c r="J66" t="inlineStr">
        <is>
          <t>https://techcrunch.com/2025/02/12/adobe-launches-firefly-ai-subscriptions/</t>
        </is>
      </c>
      <c r="K66" t="inlineStr">
        <is>
          <t>Launch (promotional) price; Adobe said subject to change 2025-03-15. New SKU, excluded from price model (mix).</t>
        </is>
      </c>
    </row>
    <row r="67">
      <c r="A67" t="inlineStr">
        <is>
          <t>2025-02-12</t>
        </is>
      </c>
      <c r="B67" t="inlineStr">
        <is>
          <t>2025-02-12</t>
        </is>
      </c>
      <c r="C67" t="inlineStr">
        <is>
          <t>Firefly Pro - NEW SKU</t>
        </is>
      </c>
      <c r="D67" t="inlineStr">
        <is>
          <t>individual, monthly</t>
        </is>
      </c>
      <c r="E67" t="inlineStr">
        <is>
          <t>Global</t>
        </is>
      </c>
      <c r="F67" s="4" t="n"/>
      <c r="G67" s="4" t="n">
        <v>29.99</v>
      </c>
      <c r="H67" s="4" t="n"/>
      <c r="I67" t="inlineStr">
        <is>
          <t>new</t>
        </is>
      </c>
      <c r="J67" t="inlineStr">
        <is>
          <t>https://petapixel.com/2025/02/18/adobe-now-sells-firefly-plans-but-photographers-dont-need-them-yet/</t>
        </is>
      </c>
      <c r="K67" t="inlineStr">
        <is>
          <t>Launch price $29.99. By 2026 the lineup is Standard $9.99 / Pro $19.99 / Pro Plus $49.99 / Premium $199.99 (re-tier date UNAVAILABLE).</t>
        </is>
      </c>
    </row>
    <row r="68">
      <c r="A68" t="inlineStr">
        <is>
          <t>2026-09-01</t>
        </is>
      </c>
      <c r="C68" t="inlineStr">
        <is>
          <t>Firefly lineup as of Sep-2026: Standard/Pro/Pro Plus/Premium</t>
        </is>
      </c>
      <c r="D68" t="inlineStr">
        <is>
          <t>individual, monthly</t>
        </is>
      </c>
      <c r="E68" t="inlineStr">
        <is>
          <t>US</t>
        </is>
      </c>
      <c r="F68" s="4" t="n"/>
      <c r="G68" s="4" t="n"/>
      <c r="H68" s="4" t="n"/>
      <c r="I68" t="inlineStr">
        <is>
          <t>new</t>
        </is>
      </c>
      <c r="J68" t="inlineStr">
        <is>
          <t>https://aiproductivity.ai/pricing/adobe-firefly/</t>
        </is>
      </c>
      <c r="K68" t="inlineStr">
        <is>
          <t>Third-party price tracker; Pro Plus &amp; Premium 30% off first year through 2026-08-26. Date of re-tier from $29.99 Pro UNAVAILABLE.</t>
        </is>
      </c>
    </row>
    <row r="69">
      <c r="A69" t="inlineStr">
        <is>
          <t>2025-06-17</t>
        </is>
      </c>
      <c r="B69" t="inlineStr">
        <is>
          <t>2025-05-20</t>
        </is>
      </c>
      <c r="C69" t="inlineStr">
        <is>
          <t>Firefly generative credit add-on pack (100 credits)</t>
        </is>
      </c>
      <c r="D69" t="inlineStr">
        <is>
          <t>add-on</t>
        </is>
      </c>
      <c r="E69" t="inlineStr">
        <is>
          <t>Global</t>
        </is>
      </c>
      <c r="F69" s="4" t="n"/>
      <c r="G69" s="4" t="n">
        <v>4.99</v>
      </c>
      <c r="H69" s="4" t="n"/>
      <c r="I69" t="inlineStr">
        <is>
          <t>new</t>
        </is>
      </c>
      <c r="J69" t="inlineStr">
        <is>
          <t>https://helpx.adobe.com/creative-cloud/apps/generative-ai/generative-credits-faq.html</t>
        </is>
      </c>
      <c r="K69" t="inlineStr">
        <is>
          <t>helpx Generative credits FAQ; larger packs (2,000/4,000/7,000 credits) exist, prices not captured. Credit-tracking enforced from 2025-06-17 (PetaPixel 2025-06-24).</t>
        </is>
      </c>
    </row>
    <row r="70">
      <c r="A70" t="inlineStr">
        <is>
          <t>2025-06-17</t>
        </is>
      </c>
      <c r="B70" t="inlineStr">
        <is>
          <t>2025-05-20</t>
        </is>
      </c>
      <c r="C70" t="inlineStr">
        <is>
          <t>Creative Cloud All Apps -&gt; Creative Cloud Pro (individual)</t>
        </is>
      </c>
      <c r="D70" t="inlineStr">
        <is>
          <t>individual, annual billed monthly</t>
        </is>
      </c>
      <c r="E70" t="inlineStr">
        <is>
          <t>North America</t>
        </is>
      </c>
      <c r="F70" s="4" t="n">
        <v>59.99</v>
      </c>
      <c r="G70" s="4" t="n">
        <v>69.98999999999999</v>
      </c>
      <c r="H70" s="7">
        <f>(G70/F70-1)*100</f>
        <v/>
      </c>
      <c r="I70" t="inlineStr">
        <is>
          <t>all</t>
        </is>
      </c>
      <c r="J70" t="inlineStr">
        <is>
          <t>https://helpx.adobe.com/account/individual/subscriptions-and-plans/plan-types-and-eligibility/changes-to-individual-plan.html</t>
        </is>
      </c>
      <c r="K70" t="inlineStr">
        <is>
          <t>Existing All Apps members auto-renamed to Pro; new price at first renewal on/after 2025-06-17. New subscribers immediately.</t>
        </is>
      </c>
    </row>
    <row r="71">
      <c r="A71" t="inlineStr">
        <is>
          <t>2025-06-17</t>
        </is>
      </c>
      <c r="B71" t="inlineStr">
        <is>
          <t>2025-05-20</t>
        </is>
      </c>
      <c r="C71" t="inlineStr">
        <is>
          <t>Creative Cloud Standard (individual) - NEW lower tier</t>
        </is>
      </c>
      <c r="D71" t="inlineStr">
        <is>
          <t>individual, annual billed monthly</t>
        </is>
      </c>
      <c r="E71" t="inlineStr">
        <is>
          <t>North America</t>
        </is>
      </c>
      <c r="F71" s="4" t="n">
        <v>59.99</v>
      </c>
      <c r="G71" s="4" t="n">
        <v>54.99</v>
      </c>
      <c r="H71" s="7">
        <f>(G71/F71-1)*100</f>
        <v/>
      </c>
      <c r="I71" t="inlineStr">
        <is>
          <t>new</t>
        </is>
      </c>
      <c r="J71" t="inlineStr">
        <is>
          <t>https://www.fastcompany.com/91337900/adobe-creative-cloud-pro</t>
        </is>
      </c>
      <c r="K71" t="inlineStr">
        <is>
          <t>Downgrade option for existing All Apps members (-8.3% vs old All Apps price); fewer generative credits. Realised uplift on base therefore &lt; list +16.7%.</t>
        </is>
      </c>
    </row>
    <row r="72">
      <c r="A72" t="inlineStr">
        <is>
          <t>2025-06-17</t>
        </is>
      </c>
      <c r="B72" t="inlineStr">
        <is>
          <t>2025-05-20</t>
        </is>
      </c>
      <c r="C72" t="inlineStr">
        <is>
          <t>Creative Cloud for teams All Apps -&gt; Creative Cloud Pro for teams</t>
        </is>
      </c>
      <c r="D72" t="inlineStr">
        <is>
          <t>teams, annual (per license/mo)</t>
        </is>
      </c>
      <c r="E72" t="inlineStr">
        <is>
          <t>North America</t>
        </is>
      </c>
      <c r="F72" s="4" t="n">
        <v>89.98999999999999</v>
      </c>
      <c r="G72" s="4" t="n">
        <v>99.98999999999999</v>
      </c>
      <c r="H72" s="7">
        <f>(G72/F72-1)*100</f>
        <v/>
      </c>
      <c r="I72" t="inlineStr">
        <is>
          <t>renewal</t>
        </is>
      </c>
      <c r="J72" t="inlineStr">
        <is>
          <t>https://helpx.adobe.com/account/individual/subscriptions-and-plans/plan-types-and-eligibility/changes-to-teams-plan.html</t>
        </is>
      </c>
      <c r="K72" t="inlineStr">
        <is>
          <t>Teams All Apps renamed Pro for teams; old 'Pro Edition' renamed 'Pro Plus'.</t>
        </is>
      </c>
    </row>
    <row r="73">
      <c r="A73" t="inlineStr">
        <is>
          <t>2025-06-17</t>
        </is>
      </c>
      <c r="B73" t="inlineStr">
        <is>
          <t>2025-05-20</t>
        </is>
      </c>
      <c r="C73" t="inlineStr">
        <is>
          <t>Creative Cloud Single App (individual)</t>
        </is>
      </c>
      <c r="D73" t="inlineStr">
        <is>
          <t>individual, annual billed monthly</t>
        </is>
      </c>
      <c r="E73" t="inlineStr">
        <is>
          <t>North America</t>
        </is>
      </c>
      <c r="F73" s="4" t="n">
        <v>22.99</v>
      </c>
      <c r="G73" s="4" t="n">
        <v>22.99</v>
      </c>
      <c r="H73" s="7">
        <f>(G73/F73-1)*100</f>
        <v/>
      </c>
      <c r="I73" t="inlineStr">
        <is>
          <t>all</t>
        </is>
      </c>
      <c r="J73" t="inlineStr">
        <is>
          <t>https://helpx.adobe.com/account/individual/subscriptions-and-plans/plan-types-and-eligibility/changes-to-individual-plan.html</t>
        </is>
      </c>
      <c r="K73" t="inlineStr">
        <is>
          <t>Explicitly NO price change for single-app subscribers in June 2025.</t>
        </is>
      </c>
    </row>
    <row r="74">
      <c r="A74" t="inlineStr">
        <is>
          <t>2025-06-17</t>
        </is>
      </c>
      <c r="B74" t="inlineStr">
        <is>
          <t>2025-05-20</t>
        </is>
      </c>
      <c r="C74" t="inlineStr">
        <is>
          <t>Creative Cloud for teams Single App</t>
        </is>
      </c>
      <c r="D74" t="inlineStr">
        <is>
          <t>teams, annual (per license/mo)</t>
        </is>
      </c>
      <c r="E74" t="inlineStr">
        <is>
          <t>North America</t>
        </is>
      </c>
      <c r="F74" s="4" t="n">
        <v>37.99</v>
      </c>
      <c r="G74" s="4" t="n">
        <v>37.99</v>
      </c>
      <c r="H74" s="7">
        <f>(G74/F74-1)*100</f>
        <v/>
      </c>
      <c r="I74" t="inlineStr">
        <is>
          <t>all</t>
        </is>
      </c>
      <c r="J74" t="inlineStr">
        <is>
          <t>https://helpx.adobe.com/account/individual/subscriptions-and-plans/plan-types-and-eligibility/changes-to-teams-plan.html</t>
        </is>
      </c>
      <c r="K74" t="inlineStr">
        <is>
          <t>Unchanged at $37.99 (licenseware summary).</t>
        </is>
      </c>
    </row>
    <row r="75">
      <c r="A75" t="inlineStr">
        <is>
          <t>2025-08-19</t>
        </is>
      </c>
      <c r="B75" t="inlineStr">
        <is>
          <t>2025-08-19</t>
        </is>
      </c>
      <c r="C75" t="inlineStr">
        <is>
          <t>Acrobat Studio - NEW SKU (individual $24.99 / teams $29.99)</t>
        </is>
      </c>
      <c r="D75" t="inlineStr">
        <is>
          <t>individual + teams, annual billed monthly</t>
        </is>
      </c>
      <c r="E75" t="inlineStr">
        <is>
          <t>US</t>
        </is>
      </c>
      <c r="F75" s="4" t="n"/>
      <c r="G75" s="4" t="n">
        <v>24.99</v>
      </c>
      <c r="H75" s="4" t="n"/>
      <c r="I75" t="inlineStr">
        <is>
          <t>new</t>
        </is>
      </c>
      <c r="J75" t="inlineStr">
        <is>
          <t>https://news.adobe.com/news/2025/08/acrobat-studio-delivers-new-ai-powered-home-for-productivity-creativity</t>
        </is>
      </c>
      <c r="K75" t="inlineStr">
        <is>
          <t>Upsell tier above Acrobat Pro ($19.99); existing Standard/Pro customers offered up to 15% off to upgrade through 2026-10-31. Mix, not price.</t>
        </is>
      </c>
    </row>
    <row r="76">
      <c r="A76" t="inlineStr">
        <is>
          <t>2026-01-15</t>
        </is>
      </c>
      <c r="C76" t="inlineStr">
        <is>
          <t>Acrobat / Creative Cloud consumer 'broad increase' (claimed)</t>
        </is>
      </c>
      <c r="D76" t="inlineStr">
        <is>
          <t>individual</t>
        </is>
      </c>
      <c r="E76" t="inlineStr">
        <is>
          <t>US</t>
        </is>
      </c>
      <c r="F76" s="4" t="n"/>
      <c r="G76" s="4" t="n"/>
      <c r="H76" s="4" t="n"/>
      <c r="I76" t="inlineStr">
        <is>
          <t>renewal</t>
        </is>
      </c>
      <c r="J76" t="inlineStr">
        <is>
          <t>https://ravody.com/adobe-creative-cloud-acrobat-pricing-2026/</t>
        </is>
      </c>
      <c r="K76" t="inlineStr">
        <is>
          <t>LOW CONFIDENCE: only secondary blogs (ravody, redresscompliance) assert a 2026-01-15 consumer increase; no Adobe page or major outlet found. Acrobat Standard individual now lists $14.99 vs earlier $12.99 (+15.4%) per xodo/photutorial, date of that change UNAVAILABLE.</t>
        </is>
      </c>
    </row>
    <row r="77">
      <c r="A77" t="inlineStr">
        <is>
          <t>2026-04-01</t>
        </is>
      </c>
      <c r="B77" t="inlineStr">
        <is>
          <t>2026-02-05</t>
        </is>
      </c>
      <c r="C77" t="inlineStr">
        <is>
          <t>Acrobat Standard for business (Teams/Enterprise, VIP)</t>
        </is>
      </c>
      <c r="D77" t="inlineStr">
        <is>
          <t>teams, annual (per license/mo)</t>
        </is>
      </c>
      <c r="E77" t="inlineStr">
        <is>
          <t>Global (VIP)</t>
        </is>
      </c>
      <c r="F77" s="4" t="n"/>
      <c r="G77" s="4" t="n"/>
      <c r="H77" s="4" t="n"/>
      <c r="I77" t="inlineStr">
        <is>
          <t>renewal</t>
        </is>
      </c>
      <c r="J77" t="inlineStr">
        <is>
          <t>https://www.schneider.im/adobe-acrobat-standard-price-increase-announcement/</t>
        </is>
      </c>
      <c r="K77" t="inlineStr">
        <is>
          <t>Adobe reseller notice; percentage NOT disclosed in sources. Current teams list $16.99/user/mo (xodo).</t>
        </is>
      </c>
    </row>
    <row r="78">
      <c r="A78" t="inlineStr">
        <is>
          <t>2026-06-01</t>
        </is>
      </c>
      <c r="B78" t="inlineStr">
        <is>
          <t>2026-02-01</t>
        </is>
      </c>
      <c r="C78" t="inlineStr">
        <is>
          <t>VIP Marketplace list-price increase, most Creative Cloud &amp; Acrobat SKUs (teams/enterprise)</t>
        </is>
      </c>
      <c r="D78" t="inlineStr">
        <is>
          <t>teams/enterprise, annual</t>
        </is>
      </c>
      <c r="E78" t="inlineStr">
        <is>
          <t>Global (VIP)</t>
        </is>
      </c>
      <c r="F78" s="4" t="n"/>
      <c r="G78" s="4" t="n"/>
      <c r="H78" s="4" t="n"/>
      <c r="I78" t="inlineStr">
        <is>
          <t>renewal</t>
        </is>
      </c>
      <c r="J78" t="inlineStr">
        <is>
          <t>https://www.schneider.im/adobe-acrobat-creative-cloud-others-price-increases/</t>
        </is>
      </c>
      <c r="K78" t="inlineStr">
        <is>
          <t>Schneider IT: broad increase esp. volume tiers (&gt;=10 licences); Express, Stock, AI Assistant, Sign out of scope. Redress: Acrobat Pro teams $22.99-&gt;$23.99 (+4.3%); claims 5-22% by SKU. Enterprise ETLAs protected to term end.</t>
        </is>
      </c>
    </row>
    <row r="79">
      <c r="A79" t="inlineStr">
        <is>
          <t>2026-06-01</t>
        </is>
      </c>
      <c r="B79" t="inlineStr">
        <is>
          <t>2026-02-01</t>
        </is>
      </c>
      <c r="C79" t="inlineStr">
        <is>
          <t>Acrobat Pro for teams</t>
        </is>
      </c>
      <c r="D79" t="inlineStr">
        <is>
          <t>teams, annual (per license/mo)</t>
        </is>
      </c>
      <c r="E79" t="inlineStr">
        <is>
          <t>Global (VIP)</t>
        </is>
      </c>
      <c r="F79" s="4" t="n">
        <v>22.99</v>
      </c>
      <c r="G79" s="4" t="n">
        <v>23.99</v>
      </c>
      <c r="H79" s="7">
        <f>(G79/F79-1)*100</f>
        <v/>
      </c>
      <c r="I79" t="inlineStr">
        <is>
          <t>renewal</t>
        </is>
      </c>
      <c r="J79" t="inlineStr">
        <is>
          <t>https://redresscompliance.com/adobe-price-increase-2026-impact</t>
        </is>
      </c>
      <c r="K79" t="inlineStr">
        <is>
          <t>Secondary source (licensing consultancy).</t>
        </is>
      </c>
    </row>
    <row r="80">
      <c r="A80" t="inlineStr">
        <is>
          <t>2023-01-01</t>
        </is>
      </c>
      <c r="C80" t="inlineStr">
        <is>
          <t>Adobe Express Premium</t>
        </is>
      </c>
      <c r="D80" t="inlineStr">
        <is>
          <t>individual, monthly or annual</t>
        </is>
      </c>
      <c r="E80" t="inlineStr">
        <is>
          <t>US</t>
        </is>
      </c>
      <c r="F80" s="4" t="n">
        <v>9.99</v>
      </c>
      <c r="G80" s="4" t="n">
        <v>9.99</v>
      </c>
      <c r="H80" s="7">
        <f>(G80/F80-1)*100</f>
        <v/>
      </c>
      <c r="I80" t="inlineStr">
        <is>
          <t>all</t>
        </is>
      </c>
      <c r="J80" t="inlineStr">
        <is>
          <t>https://www.g2.com/products/adobe-express/pricing</t>
        </is>
      </c>
      <c r="K80" t="inlineStr">
        <is>
          <t>No price change found 2023-2026: $9.99/mo or $99.99/yr throughout (G2/Capterra listings). Date column = start of observation window.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6"/>
  <sheetViews>
    <sheetView workbookViewId="0">
      <selection activeCell="A1" sqref="A1"/>
    </sheetView>
  </sheetViews>
  <sheetFormatPr baseColWidth="8" defaultRowHeight="15"/>
  <cols>
    <col width="40" customWidth="1" min="1" max="1"/>
    <col width="35" customWidth="1" min="2" max="2"/>
    <col width="18" customWidth="1" min="3" max="3"/>
    <col width="24" customWidth="1" min="4" max="4"/>
    <col width="22" customWidth="1" min="5" max="5"/>
    <col width="32" customWidth="1" min="6" max="6"/>
    <col width="29" customWidth="1" min="7" max="7"/>
    <col width="29" customWidth="1" min="8" max="8"/>
    <col width="29" customWidth="1" min="9" max="9"/>
    <col width="20" customWidth="1" min="10" max="10"/>
    <col width="11" customWidth="1" min="11" max="11"/>
    <col width="17" customWidth="1" min="12" max="12"/>
    <col width="14" customWidth="1" min="13" max="13"/>
    <col width="19" customWidth="1" min="14" max="14"/>
    <col width="16" customWidth="1" min="15" max="15"/>
    <col width="27" customWidth="1" min="16" max="16"/>
    <col width="40" customWidth="1" min="17" max="17"/>
  </cols>
  <sheetData>
    <row r="1">
      <c r="A1" s="1" t="inlineStr">
        <is>
          <t>WS2: revenue per creative worker / seat compression (blue = sourced input; black = formula)</t>
        </is>
      </c>
    </row>
    <row r="2">
      <c r="A2" s="2" t="inlineStr">
        <is>
          <t>MISMATCH: Adobe revenue is GLOBAL (fiscal year ending Nov/Dec); employment is US-only BLS OEWS wage-and-salary (May reference). Indices only, not per-seat dollars.</t>
        </is>
      </c>
    </row>
    <row r="3"/>
    <row r="4">
      <c r="A4" s="1" t="inlineStr">
        <is>
          <t>A. BLS OEWS national employment (May) and Adobe revenue (USD bn), 2019-2025</t>
        </is>
      </c>
    </row>
    <row r="5">
      <c r="A5" s="3" t="inlineStr">
        <is>
          <t>year</t>
        </is>
      </c>
      <c r="B5" s="3" t="inlineStr">
        <is>
          <t>27-1024</t>
        </is>
      </c>
      <c r="C5" s="3" t="inlineStr">
        <is>
          <t>27-1011</t>
        </is>
      </c>
      <c r="D5" s="3" t="inlineStr">
        <is>
          <t>27-1014</t>
        </is>
      </c>
      <c r="E5" s="3" t="inlineStr">
        <is>
          <t>27-4032</t>
        </is>
      </c>
      <c r="F5" s="3" t="inlineStr">
        <is>
          <t>27-4021</t>
        </is>
      </c>
      <c r="G5" s="3" t="inlineStr">
        <is>
          <t>11-2021</t>
        </is>
      </c>
      <c r="H5" s="3" t="inlineStr">
        <is>
          <t>13-1161</t>
        </is>
      </c>
      <c r="I5" s="3" t="inlineStr">
        <is>
          <t>creative5_sum (f)</t>
        </is>
      </c>
      <c r="J5" s="3" t="inlineStr">
        <is>
          <t>marketing2_sum (f)</t>
        </is>
      </c>
      <c r="K5" s="3" t="inlineStr">
        <is>
          <t>DM_rev_bn</t>
        </is>
      </c>
      <c r="L5" s="3" t="inlineStr">
        <is>
          <t>creative_rev_bn</t>
        </is>
      </c>
      <c r="M5" s="3" t="inlineStr">
        <is>
          <t>total_rev_bn</t>
        </is>
      </c>
      <c r="N5" s="3" t="inlineStr">
        <is>
          <t>creative5_idx (f)</t>
        </is>
      </c>
      <c r="O5" s="3" t="inlineStr">
        <is>
          <t>DM_rev_idx (f)</t>
        </is>
      </c>
      <c r="P5" s="3" t="inlineStr">
        <is>
          <t>DM_rev_per_worker_idx (f)</t>
        </is>
      </c>
      <c r="Q5" s="3" t="inlineStr">
        <is>
          <t>creative_rev_per_worker_idx (f)</t>
        </is>
      </c>
    </row>
    <row r="6">
      <c r="A6" t="n">
        <v>2019</v>
      </c>
      <c r="B6" s="4" t="n">
        <v>215930</v>
      </c>
      <c r="C6" s="4" t="n">
        <v>42890</v>
      </c>
      <c r="D6" s="4" t="n">
        <v>29340</v>
      </c>
      <c r="E6" s="4" t="n">
        <v>27570</v>
      </c>
      <c r="F6" s="4" t="n">
        <v>50620</v>
      </c>
      <c r="G6" s="4" t="n">
        <v>263680</v>
      </c>
      <c r="H6" s="4" t="n">
        <v>678500</v>
      </c>
      <c r="I6">
        <f>SUM(B6:F6)</f>
        <v/>
      </c>
      <c r="J6">
        <f>G6+H6</f>
        <v/>
      </c>
      <c r="K6" s="4" t="n">
        <v>7.71</v>
      </c>
      <c r="L6" s="4" t="n">
        <v>6.48</v>
      </c>
      <c r="M6" s="4" t="n">
        <v>11.17</v>
      </c>
      <c r="N6" s="7">
        <f>I6/I$6*100</f>
        <v/>
      </c>
      <c r="O6" s="7">
        <f>K6/K$6*100</f>
        <v/>
      </c>
      <c r="P6" s="7">
        <f>(K6/I6)/(K$6/I$6)*100</f>
        <v/>
      </c>
      <c r="Q6" s="7">
        <f>IF(L6="","",(L6/I6)/(L$6/I$6)*100)</f>
        <v/>
      </c>
    </row>
    <row r="7">
      <c r="A7" t="n">
        <v>2020</v>
      </c>
      <c r="B7" s="4" t="n">
        <v>201440</v>
      </c>
      <c r="C7" s="4" t="n">
        <v>40950</v>
      </c>
      <c r="D7" s="4" t="n">
        <v>26460</v>
      </c>
      <c r="E7" s="4" t="n">
        <v>22410</v>
      </c>
      <c r="F7" s="4" t="n">
        <v>41600</v>
      </c>
      <c r="G7" s="4" t="n">
        <v>270200</v>
      </c>
      <c r="H7" s="4" t="n">
        <v>690160</v>
      </c>
      <c r="I7">
        <f>SUM(B7:F7)</f>
        <v/>
      </c>
      <c r="J7">
        <f>G7+H7</f>
        <v/>
      </c>
      <c r="K7" s="4" t="n">
        <v>9.23</v>
      </c>
      <c r="L7" s="4" t="n">
        <v>7.74</v>
      </c>
      <c r="M7" s="4" t="n">
        <v>12.87</v>
      </c>
      <c r="N7" s="7">
        <f>I7/I$6*100</f>
        <v/>
      </c>
      <c r="O7" s="7">
        <f>K7/K$6*100</f>
        <v/>
      </c>
      <c r="P7" s="7">
        <f>(K7/I7)/(K$6/I$6)*100</f>
        <v/>
      </c>
      <c r="Q7" s="7">
        <f>IF(L7="","",(L7/I7)/(L$6/I$6)*100)</f>
        <v/>
      </c>
    </row>
    <row r="8">
      <c r="A8" t="n">
        <v>2021</v>
      </c>
      <c r="B8" s="4" t="n">
        <v>204040</v>
      </c>
      <c r="C8" s="4" t="n">
        <v>42080</v>
      </c>
      <c r="D8" s="4" t="n">
        <v>20430</v>
      </c>
      <c r="E8" s="4" t="n">
        <v>28030</v>
      </c>
      <c r="F8" s="4" t="n">
        <v>38420</v>
      </c>
      <c r="G8" s="4" t="n">
        <v>278690</v>
      </c>
      <c r="H8" s="4" t="n">
        <v>727540</v>
      </c>
      <c r="I8">
        <f>SUM(B8:F8)</f>
        <v/>
      </c>
      <c r="J8">
        <f>G8+H8</f>
        <v/>
      </c>
      <c r="K8" s="4" t="n">
        <v>11.52</v>
      </c>
      <c r="L8" s="4" t="n">
        <v>9.550000000000001</v>
      </c>
      <c r="M8" s="4" t="n">
        <v>15.79</v>
      </c>
      <c r="N8" s="7">
        <f>I8/I$6*100</f>
        <v/>
      </c>
      <c r="O8" s="7">
        <f>K8/K$6*100</f>
        <v/>
      </c>
      <c r="P8" s="7">
        <f>(K8/I8)/(K$6/I$6)*100</f>
        <v/>
      </c>
      <c r="Q8" s="7">
        <f>IF(L8="","",(L8/I8)/(L$6/I$6)*100)</f>
        <v/>
      </c>
    </row>
    <row r="9">
      <c r="A9" t="n">
        <v>2022</v>
      </c>
      <c r="B9" s="4" t="n">
        <v>211890</v>
      </c>
      <c r="C9" s="4" t="n">
        <v>54470</v>
      </c>
      <c r="D9" s="4" t="n">
        <v>35990</v>
      </c>
      <c r="E9" s="4" t="n">
        <v>32080</v>
      </c>
      <c r="F9" s="4" t="n">
        <v>47380</v>
      </c>
      <c r="G9" s="4" t="n">
        <v>328570</v>
      </c>
      <c r="H9" s="4" t="n">
        <v>798620</v>
      </c>
      <c r="I9">
        <f>SUM(B9:F9)</f>
        <v/>
      </c>
      <c r="J9">
        <f>G9+H9</f>
        <v/>
      </c>
      <c r="K9" s="4" t="n">
        <v>12.84</v>
      </c>
      <c r="L9" s="4" t="n">
        <v>10.46</v>
      </c>
      <c r="M9" s="4" t="n">
        <v>17.61</v>
      </c>
      <c r="N9" s="7">
        <f>I9/I$6*100</f>
        <v/>
      </c>
      <c r="O9" s="7">
        <f>K9/K$6*100</f>
        <v/>
      </c>
      <c r="P9" s="7">
        <f>(K9/I9)/(K$6/I$6)*100</f>
        <v/>
      </c>
      <c r="Q9" s="7">
        <f>IF(L9="","",(L9/I9)/(L$6/I$6)*100)</f>
        <v/>
      </c>
    </row>
    <row r="10">
      <c r="A10" t="n">
        <v>2023</v>
      </c>
      <c r="B10" s="4" t="n">
        <v>212720</v>
      </c>
      <c r="C10" s="4" t="n">
        <v>51200</v>
      </c>
      <c r="D10" s="4" t="n">
        <v>29940</v>
      </c>
      <c r="E10" s="4" t="n">
        <v>29240</v>
      </c>
      <c r="F10" s="4" t="n">
        <v>53630</v>
      </c>
      <c r="G10" s="4" t="n">
        <v>368940</v>
      </c>
      <c r="H10" s="4" t="n">
        <v>846370</v>
      </c>
      <c r="I10">
        <f>SUM(B10:F10)</f>
        <v/>
      </c>
      <c r="J10">
        <f>G10+H10</f>
        <v/>
      </c>
      <c r="K10" s="4" t="n">
        <v>14.22</v>
      </c>
      <c r="L10" s="4" t="n">
        <v>11.52</v>
      </c>
      <c r="M10" s="4" t="n">
        <v>19.41</v>
      </c>
      <c r="N10" s="7">
        <f>I10/I$6*100</f>
        <v/>
      </c>
      <c r="O10" s="7">
        <f>K10/K$6*100</f>
        <v/>
      </c>
      <c r="P10" s="7">
        <f>(K10/I10)/(K$6/I$6)*100</f>
        <v/>
      </c>
      <c r="Q10" s="7">
        <f>IF(L10="","",(L10/I10)/(L$6/I$6)*100)</f>
        <v/>
      </c>
    </row>
    <row r="11">
      <c r="A11" t="n">
        <v>2024</v>
      </c>
      <c r="B11" s="4" t="n">
        <v>214260</v>
      </c>
      <c r="C11" s="4" t="n">
        <v>50370</v>
      </c>
      <c r="D11" s="4" t="n">
        <v>21280</v>
      </c>
      <c r="E11" s="4" t="n">
        <v>28860</v>
      </c>
      <c r="F11" s="4" t="n">
        <v>51230</v>
      </c>
      <c r="G11" s="4" t="n">
        <v>384980</v>
      </c>
      <c r="H11" s="4" t="n">
        <v>861140</v>
      </c>
      <c r="I11">
        <f>SUM(B11:F11)</f>
        <v/>
      </c>
      <c r="J11">
        <f>G11+H11</f>
        <v/>
      </c>
      <c r="K11" s="4" t="n">
        <v>15.86</v>
      </c>
      <c r="L11" s="4" t="n">
        <v>12.68</v>
      </c>
      <c r="M11" s="4" t="n">
        <v>21.51</v>
      </c>
      <c r="N11" s="7">
        <f>I11/I$6*100</f>
        <v/>
      </c>
      <c r="O11" s="7">
        <f>K11/K$6*100</f>
        <v/>
      </c>
      <c r="P11" s="7">
        <f>(K11/I11)/(K$6/I$6)*100</f>
        <v/>
      </c>
      <c r="Q11" s="7">
        <f>IF(L11="","",(L11/I11)/(L$6/I$6)*100)</f>
        <v/>
      </c>
    </row>
    <row r="12">
      <c r="A12" t="n">
        <v>2025</v>
      </c>
      <c r="B12" s="4" t="n">
        <v>197830</v>
      </c>
      <c r="C12" s="4" t="n">
        <v>53070</v>
      </c>
      <c r="D12" s="4" t="n">
        <v>19970</v>
      </c>
      <c r="E12" s="4" t="n">
        <v>25610</v>
      </c>
      <c r="F12" s="4" t="n">
        <v>51760</v>
      </c>
      <c r="G12" s="4" t="n">
        <v>395240</v>
      </c>
      <c r="H12" s="4" t="n">
        <v>899580</v>
      </c>
      <c r="I12">
        <f>SUM(B12:F12)</f>
        <v/>
      </c>
      <c r="J12">
        <f>G12+H12</f>
        <v/>
      </c>
      <c r="K12" s="4" t="n">
        <v>17.65</v>
      </c>
      <c r="L12" s="4" t="n"/>
      <c r="M12" s="4" t="n">
        <v>23.77</v>
      </c>
      <c r="N12" s="7">
        <f>I12/I$6*100</f>
        <v/>
      </c>
      <c r="O12" s="7">
        <f>K12/K$6*100</f>
        <v/>
      </c>
      <c r="P12" s="7">
        <f>(K12/I12)/(K$6/I$6)*100</f>
        <v/>
      </c>
      <c r="Q12" s="7">
        <f>IF(L12="","",(L12/I12)/(L$6/I$6)*100)</f>
        <v/>
      </c>
    </row>
    <row r="13"/>
    <row r="14">
      <c r="A14" s="1" t="inlineStr">
        <is>
          <t>B. Achieved revenue-per-US-creative-worker growth (formulas)</t>
        </is>
      </c>
    </row>
    <row r="15">
      <c r="A15" t="inlineStr">
        <is>
          <t>DM rev per creative worker CAGR FY19-FY25</t>
        </is>
      </c>
      <c r="B15" s="8">
        <f>((K12/I12)/(K6/I6))^(1/(12-6))-1</f>
        <v/>
      </c>
    </row>
    <row r="16">
      <c r="A16" t="inlineStr">
        <is>
          <t>Creative rev per creative worker CAGR FY19-FY24</t>
        </is>
      </c>
      <c r="B16" s="8">
        <f>((L11/I11)/(L6/I6))^(1/(11-6))-1</f>
        <v/>
      </c>
    </row>
    <row r="17">
      <c r="A17" t="inlineStr">
        <is>
          <t>DM rev per creative worker growth FY24-&gt;FY25</t>
        </is>
      </c>
      <c r="B17" s="8">
        <f>(K12/I12)/(K11/I11)-1</f>
        <v/>
      </c>
    </row>
    <row r="18">
      <c r="A18" t="inlineStr">
        <is>
          <t>Creative5 employment change May-24 -&gt; May-25</t>
        </is>
      </c>
      <c r="B18" s="8">
        <f>I12/I11-1</f>
        <v/>
      </c>
    </row>
    <row r="19">
      <c r="A19" t="inlineStr">
        <is>
          <t>Graphic designers change May-24 -&gt; May-25</t>
        </is>
      </c>
      <c r="B19" s="8">
        <f>B12/B11-1</f>
        <v/>
      </c>
    </row>
    <row r="20"/>
    <row r="21">
      <c r="A21" s="1" t="inlineStr">
        <is>
          <t>C. Required per-worker growth to sustain target ARR growth under headcount scenarios (formulas)</t>
        </is>
      </c>
    </row>
    <row r="22">
      <c r="A22" t="inlineStr">
        <is>
          <t>Target ARR growth</t>
        </is>
      </c>
      <c r="B22" s="9" t="n">
        <v>0.1</v>
      </c>
    </row>
    <row r="23">
      <c r="A23" t="inlineStr">
        <is>
          <t>Creative5 employment base (May 2025)</t>
        </is>
      </c>
      <c r="B23">
        <f>I12</f>
        <v/>
      </c>
    </row>
    <row r="24">
      <c r="A24" s="3" t="inlineStr">
        <is>
          <t>scenario</t>
        </is>
      </c>
      <c r="B24" s="3" t="inlineStr">
        <is>
          <t>annual headcount growth</t>
        </is>
      </c>
      <c r="C24" s="3" t="inlineStr">
        <is>
          <t>emp 2026 (f)</t>
        </is>
      </c>
      <c r="D24" s="3" t="inlineStr">
        <is>
          <t>emp 2027 (f)</t>
        </is>
      </c>
      <c r="E24" s="3" t="inlineStr">
        <is>
          <t>emp 2028 (f)</t>
        </is>
      </c>
      <c r="F24" s="3" t="inlineStr">
        <is>
          <t>required per-worker growth (f)</t>
        </is>
      </c>
      <c r="G24" s="3" t="inlineStr">
        <is>
          <t>achieved FY19-25 CAGR</t>
        </is>
      </c>
      <c r="H24" s="3" t="inlineStr">
        <is>
          <t>gap (achieved - required)</t>
        </is>
      </c>
    </row>
    <row r="25">
      <c r="A25" t="inlineStr">
        <is>
          <t>Flat headcount</t>
        </is>
      </c>
      <c r="B25" s="10" t="n">
        <v>0</v>
      </c>
      <c r="C25" s="11">
        <f>$B$23*(1+B25)^1</f>
        <v/>
      </c>
      <c r="D25" s="11">
        <f>$B$23*(1+B25)^2</f>
        <v/>
      </c>
      <c r="E25" s="11">
        <f>$B$23*(1+B25)^3</f>
        <v/>
      </c>
      <c r="F25" s="8">
        <f>(1+$B$22)/(1+B25)-1</f>
        <v/>
      </c>
      <c r="G25" s="8">
        <f>$B$15</f>
        <v/>
      </c>
      <c r="H25" s="8">
        <f>G25-F25</f>
        <v/>
      </c>
    </row>
    <row r="26">
      <c r="A26" t="inlineStr">
        <is>
          <t>-3%/yr headcount</t>
        </is>
      </c>
      <c r="B26" s="10" t="n">
        <v>-0.03</v>
      </c>
      <c r="C26" s="11">
        <f>$B$23*(1+B26)^1</f>
        <v/>
      </c>
      <c r="D26" s="11">
        <f>$B$23*(1+B26)^2</f>
        <v/>
      </c>
      <c r="E26" s="11">
        <f>$B$23*(1+B26)^3</f>
        <v/>
      </c>
      <c r="F26" s="8">
        <f>(1+$B$22)/(1+B26)-1</f>
        <v/>
      </c>
      <c r="G26" s="8">
        <f>$B$15</f>
        <v/>
      </c>
      <c r="H26" s="8">
        <f>G26-F26</f>
        <v/>
      </c>
    </row>
    <row r="27">
      <c r="A27" t="inlineStr">
        <is>
          <t>-7%/yr headcount</t>
        </is>
      </c>
      <c r="B27" s="10" t="n">
        <v>-0.07000000000000001</v>
      </c>
      <c r="C27" s="11">
        <f>$B$23*(1+B27)^1</f>
        <v/>
      </c>
      <c r="D27" s="11">
        <f>$B$23*(1+B27)^2</f>
        <v/>
      </c>
      <c r="E27" s="11">
        <f>$B$23*(1+B27)^3</f>
        <v/>
      </c>
      <c r="F27" s="8">
        <f>(1+$B$22)/(1+B27)-1</f>
        <v/>
      </c>
      <c r="G27" s="8">
        <f>$B$15</f>
        <v/>
      </c>
      <c r="H27" s="8">
        <f>G27-F27</f>
        <v/>
      </c>
    </row>
    <row r="28">
      <c r="A28" t="inlineStr">
        <is>
          <t>BLS 2024-34 projection CAGR</t>
        </is>
      </c>
      <c r="B28" s="10" t="n">
        <v>0.0025</v>
      </c>
      <c r="C28" s="11">
        <f>$B$23*(1+B28)^1</f>
        <v/>
      </c>
      <c r="D28" s="11">
        <f>$B$23*(1+B28)^2</f>
        <v/>
      </c>
      <c r="E28" s="11">
        <f>$B$23*(1+B28)^3</f>
        <v/>
      </c>
      <c r="F28" s="8">
        <f>(1+$B$22)/(1+B28)-1</f>
        <v/>
      </c>
      <c r="G28" s="8">
        <f>$B$15</f>
        <v/>
      </c>
      <c r="H28" s="8">
        <f>G28-F28</f>
        <v/>
      </c>
    </row>
    <row r="29">
      <c r="A29" t="inlineStr">
        <is>
          <t>BLS 2025-35 projection CAGR (Sep-2026 OOH update)</t>
        </is>
      </c>
      <c r="B29" s="10" t="n">
        <v>-0.0005</v>
      </c>
      <c r="C29" s="11">
        <f>$B$23*(1+B29)^1</f>
        <v/>
      </c>
      <c r="D29" s="11">
        <f>$B$23*(1+B29)^2</f>
        <v/>
      </c>
      <c r="E29" s="11">
        <f>$B$23*(1+B29)^3</f>
        <v/>
      </c>
      <c r="F29" s="8">
        <f>(1+$B$22)/(1+B29)-1</f>
        <v/>
      </c>
      <c r="G29" s="8">
        <f>$B$15</f>
        <v/>
      </c>
      <c r="H29" s="8">
        <f>G29-F29</f>
        <v/>
      </c>
    </row>
    <row r="30">
      <c r="A30" t="inlineStr">
        <is>
          <t>Postings-based (Indeed creative YoY x beta)</t>
        </is>
      </c>
      <c r="B30" s="10" t="n">
        <v>0.0074</v>
      </c>
      <c r="C30" s="11">
        <f>$B$23*(1+B30)^1</f>
        <v/>
      </c>
      <c r="D30" s="11">
        <f>$B$23*(1+B30)^2</f>
        <v/>
      </c>
      <c r="E30" s="11">
        <f>$B$23*(1+B30)^3</f>
        <v/>
      </c>
      <c r="F30" s="8">
        <f>(1+$B$22)/(1+B30)-1</f>
        <v/>
      </c>
      <c r="G30" s="8">
        <f>$B$15</f>
        <v/>
      </c>
      <c r="H30" s="8">
        <f>G30-F30</f>
        <v/>
      </c>
    </row>
    <row r="31">
      <c r="A31" t="inlineStr">
        <is>
          <t>Trend: 2019-2025 OEWS CAGR</t>
        </is>
      </c>
      <c r="B31" s="10" t="n">
        <v>-0.008399999999999999</v>
      </c>
      <c r="C31" s="11">
        <f>$B$23*(1+B31)^1</f>
        <v/>
      </c>
      <c r="D31" s="11">
        <f>$B$23*(1+B31)^2</f>
        <v/>
      </c>
      <c r="E31" s="11">
        <f>$B$23*(1+B31)^3</f>
        <v/>
      </c>
      <c r="F31" s="8">
        <f>(1+$B$22)/(1+B31)-1</f>
        <v/>
      </c>
      <c r="G31" s="8">
        <f>$B$15</f>
        <v/>
      </c>
      <c r="H31" s="8">
        <f>G31-F31</f>
        <v/>
      </c>
    </row>
    <row r="32">
      <c r="A32" t="inlineStr">
        <is>
          <t>Stress: repeat of 2024-&gt;2025 drop</t>
        </is>
      </c>
      <c r="B32" s="10" t="n">
        <v>-0.0485</v>
      </c>
      <c r="C32" s="11">
        <f>$B$23*(1+B32)^1</f>
        <v/>
      </c>
      <c r="D32" s="11">
        <f>$B$23*(1+B32)^2</f>
        <v/>
      </c>
      <c r="E32" s="11">
        <f>$B$23*(1+B32)^3</f>
        <v/>
      </c>
      <c r="F32" s="8">
        <f>(1+$B$22)/(1+B32)-1</f>
        <v/>
      </c>
      <c r="G32" s="8">
        <f>$B$15</f>
        <v/>
      </c>
      <c r="H32" s="8">
        <f>G32-F32</f>
        <v/>
      </c>
    </row>
    <row r="33"/>
    <row r="34">
      <c r="A34" s="1" t="inlineStr">
        <is>
          <t>D. Advertising holding-company year-end headcount (blue) with 2019=100 index (formula)</t>
        </is>
      </c>
    </row>
    <row r="35">
      <c r="A35" s="3" t="inlineStr">
        <is>
          <t>year</t>
        </is>
      </c>
      <c r="B35" s="3" t="inlineStr">
        <is>
          <t>Interpublic</t>
        </is>
      </c>
      <c r="C35" s="3" t="inlineStr">
        <is>
          <t>Omnicom</t>
        </is>
      </c>
      <c r="D35" s="3" t="inlineStr">
        <is>
          <t>Publicis</t>
        </is>
      </c>
      <c r="E35" s="3" t="inlineStr">
        <is>
          <t>WPP</t>
        </is>
      </c>
      <c r="F35" s="3" t="inlineStr">
        <is>
          <t>Interpublic idx (f)</t>
        </is>
      </c>
      <c r="G35" s="3" t="inlineStr">
        <is>
          <t>Omnicom idx (f)</t>
        </is>
      </c>
      <c r="H35" s="3" t="inlineStr">
        <is>
          <t>Publicis idx (f)</t>
        </is>
      </c>
      <c r="I35" s="3" t="inlineStr">
        <is>
          <t>WPP idx (f)</t>
        </is>
      </c>
    </row>
    <row r="36">
      <c r="A36" t="n">
        <v>2019</v>
      </c>
      <c r="B36" s="4" t="n">
        <v>54300</v>
      </c>
      <c r="C36" s="4" t="n">
        <v>70000</v>
      </c>
      <c r="D36" s="4" t="n">
        <v>83235</v>
      </c>
      <c r="E36" s="4" t="n">
        <v>106478</v>
      </c>
      <c r="F36" s="7">
        <f>IF(B36="","",B36/B$36*100)</f>
        <v/>
      </c>
      <c r="G36" s="7">
        <f>IF(C36="","",C36/C$36*100)</f>
        <v/>
      </c>
      <c r="H36" s="7">
        <f>IF(D36="","",D36/D$36*100)</f>
        <v/>
      </c>
      <c r="I36" s="7">
        <f>IF(E36="","",E36/E$36*100)</f>
        <v/>
      </c>
    </row>
    <row r="37">
      <c r="A37" t="n">
        <v>2020</v>
      </c>
      <c r="B37" s="4" t="n">
        <v>50200</v>
      </c>
      <c r="C37" s="4" t="n">
        <v>64100</v>
      </c>
      <c r="D37" s="4" t="n">
        <v>79051</v>
      </c>
      <c r="E37" s="4" t="n">
        <v>99830</v>
      </c>
      <c r="F37" s="7">
        <f>IF(B37="","",B37/B$36*100)</f>
        <v/>
      </c>
      <c r="G37" s="7">
        <f>IF(C37="","",C37/C$36*100)</f>
        <v/>
      </c>
      <c r="H37" s="7">
        <f>IF(D37="","",D37/D$36*100)</f>
        <v/>
      </c>
      <c r="I37" s="7">
        <f>IF(E37="","",E37/E$36*100)</f>
        <v/>
      </c>
    </row>
    <row r="38">
      <c r="A38" t="n">
        <v>2021</v>
      </c>
      <c r="B38" s="4" t="n">
        <v>55600</v>
      </c>
      <c r="C38" s="4" t="n">
        <v>71700</v>
      </c>
      <c r="D38" s="4" t="n">
        <v>88531</v>
      </c>
      <c r="E38" s="4" t="n">
        <v>109382</v>
      </c>
      <c r="F38" s="7">
        <f>IF(B38="","",B38/B$36*100)</f>
        <v/>
      </c>
      <c r="G38" s="7">
        <f>IF(C38="","",C38/C$36*100)</f>
        <v/>
      </c>
      <c r="H38" s="7">
        <f>IF(D38="","",D38/D$36*100)</f>
        <v/>
      </c>
      <c r="I38" s="7">
        <f>IF(E38="","",E38/E$36*100)</f>
        <v/>
      </c>
    </row>
    <row r="39">
      <c r="A39" t="n">
        <v>2022</v>
      </c>
      <c r="B39" s="4" t="n">
        <v>58400</v>
      </c>
      <c r="C39" s="4" t="n">
        <v>74200</v>
      </c>
      <c r="D39" s="4" t="n">
        <v>98022</v>
      </c>
      <c r="E39" s="4" t="n">
        <v>115473</v>
      </c>
      <c r="F39" s="7">
        <f>IF(B39="","",B39/B$36*100)</f>
        <v/>
      </c>
      <c r="G39" s="7">
        <f>IF(C39="","",C39/C$36*100)</f>
        <v/>
      </c>
      <c r="H39" s="7">
        <f>IF(D39="","",D39/D$36*100)</f>
        <v/>
      </c>
      <c r="I39" s="7">
        <f>IF(E39="","",E39/E$36*100)</f>
        <v/>
      </c>
    </row>
    <row r="40">
      <c r="A40" t="n">
        <v>2023</v>
      </c>
      <c r="B40" s="4" t="n">
        <v>57400</v>
      </c>
      <c r="C40" s="4" t="n">
        <v>75900</v>
      </c>
      <c r="D40" s="4" t="n">
        <v>103295</v>
      </c>
      <c r="E40" s="4" t="n">
        <v>114173</v>
      </c>
      <c r="F40" s="7">
        <f>IF(B40="","",B40/B$36*100)</f>
        <v/>
      </c>
      <c r="G40" s="7">
        <f>IF(C40="","",C40/C$36*100)</f>
        <v/>
      </c>
      <c r="H40" s="7">
        <f>IF(D40="","",D40/D$36*100)</f>
        <v/>
      </c>
      <c r="I40" s="7">
        <f>IF(E40="","",E40/E$36*100)</f>
        <v/>
      </c>
    </row>
    <row r="41">
      <c r="A41" t="n">
        <v>2024</v>
      </c>
      <c r="B41" s="4" t="n">
        <v>53300</v>
      </c>
      <c r="C41" s="4" t="n">
        <v>74900</v>
      </c>
      <c r="D41" s="4" t="n">
        <v>108179</v>
      </c>
      <c r="E41" s="4" t="n">
        <v>108044</v>
      </c>
      <c r="F41" s="7">
        <f>IF(B41="","",B41/B$36*100)</f>
        <v/>
      </c>
      <c r="G41" s="7">
        <f>IF(C41="","",C41/C$36*100)</f>
        <v/>
      </c>
      <c r="H41" s="7">
        <f>IF(D41="","",D41/D$36*100)</f>
        <v/>
      </c>
      <c r="I41" s="7">
        <f>IF(E41="","",E41/E$36*100)</f>
        <v/>
      </c>
    </row>
    <row r="42">
      <c r="A42" t="n">
        <v>2025</v>
      </c>
      <c r="B42" s="4" t="n"/>
      <c r="C42" s="4" t="n">
        <v>120000</v>
      </c>
      <c r="D42" s="4" t="n">
        <v>114000</v>
      </c>
      <c r="E42" s="4" t="n">
        <v>98655</v>
      </c>
      <c r="F42" s="7">
        <f>IF(B42="","",B42/B$36*100)</f>
        <v/>
      </c>
      <c r="G42" s="7">
        <f>IF(C42="","",C42/C$36*100)</f>
        <v/>
      </c>
      <c r="H42" s="7">
        <f>IF(D42="","",D42/D$36*100)</f>
        <v/>
      </c>
      <c r="I42" s="7">
        <f>IF(E42="","",E42/E$36*100)</f>
        <v/>
      </c>
    </row>
    <row r="43"/>
    <row r="44">
      <c r="A44" s="1" t="inlineStr">
        <is>
          <t>E. Indeed Hiring Lab US job postings index (Feb-2020 = 100), monthly (blue); latest month and YoY (formula)</t>
        </is>
      </c>
    </row>
    <row r="45">
      <c r="A45" s="3" t="inlineStr">
        <is>
          <t>month</t>
        </is>
      </c>
      <c r="B45" s="3" t="inlineStr">
        <is>
          <t>Arts &amp; Entertainment</t>
        </is>
      </c>
      <c r="C45" s="3" t="inlineStr">
        <is>
          <t>Marketing</t>
        </is>
      </c>
      <c r="D45" s="3" t="inlineStr">
        <is>
          <t>Media &amp; Communications</t>
        </is>
      </c>
      <c r="E45" s="3" t="inlineStr">
        <is>
          <t>Software Development</t>
        </is>
      </c>
      <c r="F45" s="3" t="inlineStr">
        <is>
          <t>Total (SA)</t>
        </is>
      </c>
      <c r="G45" s="3" t="inlineStr">
        <is>
          <t>Total (NSA)</t>
        </is>
      </c>
    </row>
    <row r="46">
      <c r="A46" t="inlineStr">
        <is>
          <t>2020-02</t>
        </is>
      </c>
      <c r="B46" s="4" t="n">
        <v>99.18000000000001</v>
      </c>
      <c r="C46" s="4" t="n">
        <v>100.6</v>
      </c>
      <c r="D46" s="4" t="n">
        <v>101.1</v>
      </c>
      <c r="E46" s="4" t="n">
        <v>99.65000000000001</v>
      </c>
      <c r="F46" s="4" t="n">
        <v>100.05</v>
      </c>
      <c r="G46" s="4" t="n">
        <v>100.6</v>
      </c>
    </row>
    <row r="47">
      <c r="A47" t="inlineStr">
        <is>
          <t>2020-03</t>
        </is>
      </c>
      <c r="B47" s="4" t="n">
        <v>92.69</v>
      </c>
      <c r="C47" s="4" t="n">
        <v>93.69</v>
      </c>
      <c r="D47" s="4" t="n">
        <v>94.48999999999999</v>
      </c>
      <c r="E47" s="4" t="n">
        <v>98.22</v>
      </c>
      <c r="F47" s="4" t="n">
        <v>94.52</v>
      </c>
      <c r="G47" s="4" t="n">
        <v>97.26000000000001</v>
      </c>
    </row>
    <row r="48">
      <c r="A48" t="inlineStr">
        <is>
          <t>2020-04</t>
        </is>
      </c>
      <c r="B48" s="4" t="n">
        <v>58.36</v>
      </c>
      <c r="C48" s="4" t="n">
        <v>53.29</v>
      </c>
      <c r="D48" s="4" t="n">
        <v>58.99</v>
      </c>
      <c r="E48" s="4" t="n">
        <v>77.41</v>
      </c>
      <c r="F48" s="4" t="n">
        <v>68.2</v>
      </c>
      <c r="G48" s="4" t="n">
        <v>71.44</v>
      </c>
    </row>
    <row r="49">
      <c r="A49" t="inlineStr">
        <is>
          <t>2020-05</t>
        </is>
      </c>
      <c r="B49" s="4" t="n">
        <v>49.58</v>
      </c>
      <c r="C49" s="4" t="n">
        <v>44.71</v>
      </c>
      <c r="D49" s="4" t="n">
        <v>51.01</v>
      </c>
      <c r="E49" s="4" t="n">
        <v>66.54000000000001</v>
      </c>
      <c r="F49" s="4" t="n">
        <v>62.9</v>
      </c>
      <c r="G49" s="4" t="n">
        <v>66.78</v>
      </c>
    </row>
    <row r="50">
      <c r="A50" t="inlineStr">
        <is>
          <t>2020-06</t>
        </is>
      </c>
      <c r="B50" s="4" t="n">
        <v>51.94</v>
      </c>
      <c r="C50" s="4" t="n">
        <v>47.64</v>
      </c>
      <c r="D50" s="4" t="n">
        <v>54.75</v>
      </c>
      <c r="E50" s="4" t="n">
        <v>65.23</v>
      </c>
      <c r="F50" s="4" t="n">
        <v>70.05</v>
      </c>
      <c r="G50" s="4" t="n">
        <v>73.34</v>
      </c>
    </row>
    <row r="51">
      <c r="A51" t="inlineStr">
        <is>
          <t>2020-07</t>
        </is>
      </c>
      <c r="B51" s="4" t="n">
        <v>56.51</v>
      </c>
      <c r="C51" s="4" t="n">
        <v>53.13</v>
      </c>
      <c r="D51" s="4" t="n">
        <v>59.69</v>
      </c>
      <c r="E51" s="4" t="n">
        <v>67.31999999999999</v>
      </c>
      <c r="F51" s="4" t="n">
        <v>78.26000000000001</v>
      </c>
      <c r="G51" s="4" t="n">
        <v>80.73</v>
      </c>
    </row>
    <row r="52">
      <c r="A52" t="inlineStr">
        <is>
          <t>2020-08</t>
        </is>
      </c>
      <c r="B52" s="4" t="n">
        <v>59.86</v>
      </c>
      <c r="C52" s="4" t="n">
        <v>58.31</v>
      </c>
      <c r="D52" s="4" t="n">
        <v>60.2</v>
      </c>
      <c r="E52" s="4" t="n">
        <v>70.06</v>
      </c>
      <c r="F52" s="4" t="n">
        <v>82.95999999999999</v>
      </c>
      <c r="G52" s="4" t="n">
        <v>86.65000000000001</v>
      </c>
    </row>
    <row r="53">
      <c r="A53" t="inlineStr">
        <is>
          <t>2020-09</t>
        </is>
      </c>
      <c r="B53" s="4" t="n">
        <v>63.48</v>
      </c>
      <c r="C53" s="4" t="n">
        <v>65.59999999999999</v>
      </c>
      <c r="D53" s="4" t="n">
        <v>64.47</v>
      </c>
      <c r="E53" s="4" t="n">
        <v>72.94</v>
      </c>
      <c r="F53" s="4" t="n">
        <v>86.31</v>
      </c>
      <c r="G53" s="4" t="n">
        <v>90.47</v>
      </c>
    </row>
    <row r="54">
      <c r="A54" t="inlineStr">
        <is>
          <t>2020-10</t>
        </is>
      </c>
      <c r="B54" s="4" t="n">
        <v>67.48</v>
      </c>
      <c r="C54" s="4" t="n">
        <v>72.18000000000001</v>
      </c>
      <c r="D54" s="4" t="n">
        <v>73.23</v>
      </c>
      <c r="E54" s="4" t="n">
        <v>77.78</v>
      </c>
      <c r="F54" s="4" t="n">
        <v>90.45999999999999</v>
      </c>
      <c r="G54" s="4" t="n">
        <v>95.18000000000001</v>
      </c>
    </row>
    <row r="55">
      <c r="A55" t="inlineStr">
        <is>
          <t>2020-11</t>
        </is>
      </c>
      <c r="B55" s="4" t="n">
        <v>70.28</v>
      </c>
      <c r="C55" s="4" t="n">
        <v>79.14</v>
      </c>
      <c r="D55" s="4" t="n">
        <v>77.08</v>
      </c>
      <c r="E55" s="4" t="n">
        <v>83.61</v>
      </c>
      <c r="F55" s="4" t="n">
        <v>93.54000000000001</v>
      </c>
      <c r="G55" s="4" t="n">
        <v>97.13</v>
      </c>
    </row>
    <row r="56">
      <c r="A56" t="inlineStr">
        <is>
          <t>2020-12</t>
        </is>
      </c>
      <c r="B56" s="4" t="n">
        <v>73.62</v>
      </c>
      <c r="C56" s="4" t="n">
        <v>85.18000000000001</v>
      </c>
      <c r="D56" s="4" t="n">
        <v>80.3</v>
      </c>
      <c r="E56" s="4" t="n">
        <v>89.97</v>
      </c>
      <c r="F56" s="4" t="n">
        <v>94.84</v>
      </c>
      <c r="G56" s="4" t="n">
        <v>94.7</v>
      </c>
    </row>
    <row r="57">
      <c r="A57" t="inlineStr">
        <is>
          <t>2021-01</t>
        </is>
      </c>
      <c r="B57" s="4" t="n">
        <v>77</v>
      </c>
      <c r="C57" s="4" t="n">
        <v>89.52</v>
      </c>
      <c r="D57" s="4" t="n">
        <v>82.84999999999999</v>
      </c>
      <c r="E57" s="4" t="n">
        <v>93.41</v>
      </c>
      <c r="F57" s="4" t="n">
        <v>97.68000000000001</v>
      </c>
      <c r="G57" s="4" t="n">
        <v>95.65000000000001</v>
      </c>
    </row>
    <row r="58">
      <c r="A58" t="inlineStr">
        <is>
          <t>2021-02</t>
        </is>
      </c>
      <c r="B58" s="4" t="n">
        <v>80.78</v>
      </c>
      <c r="C58" s="4" t="n">
        <v>97.29000000000001</v>
      </c>
      <c r="D58" s="4" t="n">
        <v>89.52</v>
      </c>
      <c r="E58" s="4" t="n">
        <v>102.63</v>
      </c>
      <c r="F58" s="4" t="n">
        <v>103.22</v>
      </c>
      <c r="G58" s="4" t="n">
        <v>103.82</v>
      </c>
    </row>
    <row r="59">
      <c r="A59" t="inlineStr">
        <is>
          <t>2021-03</t>
        </is>
      </c>
      <c r="B59" s="4" t="n">
        <v>90.09</v>
      </c>
      <c r="C59" s="4" t="n">
        <v>107.38</v>
      </c>
      <c r="D59" s="4" t="n">
        <v>98.40000000000001</v>
      </c>
      <c r="E59" s="4" t="n">
        <v>112.24</v>
      </c>
      <c r="F59" s="4" t="n">
        <v>110.59</v>
      </c>
      <c r="G59" s="4" t="n">
        <v>113.76</v>
      </c>
    </row>
    <row r="60">
      <c r="A60" t="inlineStr">
        <is>
          <t>2021-04</t>
        </is>
      </c>
      <c r="B60" s="4" t="n">
        <v>100.94</v>
      </c>
      <c r="C60" s="4" t="n">
        <v>119.56</v>
      </c>
      <c r="D60" s="4" t="n">
        <v>107.32</v>
      </c>
      <c r="E60" s="4" t="n">
        <v>120.42</v>
      </c>
      <c r="F60" s="4" t="n">
        <v>121.96</v>
      </c>
      <c r="G60" s="4" t="n">
        <v>126.68</v>
      </c>
    </row>
    <row r="61">
      <c r="A61" t="inlineStr">
        <is>
          <t>2021-05</t>
        </is>
      </c>
      <c r="B61" s="4" t="n">
        <v>111.4</v>
      </c>
      <c r="C61" s="4" t="n">
        <v>130.69</v>
      </c>
      <c r="D61" s="4" t="n">
        <v>114.76</v>
      </c>
      <c r="E61" s="4" t="n">
        <v>131.34</v>
      </c>
      <c r="F61" s="4" t="n">
        <v>128.69</v>
      </c>
      <c r="G61" s="4" t="n">
        <v>134.38</v>
      </c>
    </row>
    <row r="62">
      <c r="A62" t="inlineStr">
        <is>
          <t>2021-06</t>
        </is>
      </c>
      <c r="B62" s="4" t="n">
        <v>115.37</v>
      </c>
      <c r="C62" s="4" t="n">
        <v>139.02</v>
      </c>
      <c r="D62" s="4" t="n">
        <v>120.98</v>
      </c>
      <c r="E62" s="4" t="n">
        <v>137.54</v>
      </c>
      <c r="F62" s="4" t="n">
        <v>133.38</v>
      </c>
      <c r="G62" s="4" t="n">
        <v>138.27</v>
      </c>
    </row>
    <row r="63">
      <c r="A63" t="inlineStr">
        <is>
          <t>2021-07</t>
        </is>
      </c>
      <c r="B63" s="4" t="n">
        <v>119.21</v>
      </c>
      <c r="C63" s="4" t="n">
        <v>144.99</v>
      </c>
      <c r="D63" s="4" t="n">
        <v>129.86</v>
      </c>
      <c r="E63" s="4" t="n">
        <v>145.74</v>
      </c>
      <c r="F63" s="4" t="n">
        <v>137.36</v>
      </c>
      <c r="G63" s="4" t="n">
        <v>141.47</v>
      </c>
    </row>
    <row r="64">
      <c r="A64" t="inlineStr">
        <is>
          <t>2021-08</t>
        </is>
      </c>
      <c r="B64" s="4" t="n">
        <v>124.08</v>
      </c>
      <c r="C64" s="4" t="n">
        <v>150.1</v>
      </c>
      <c r="D64" s="4" t="n">
        <v>134.06</v>
      </c>
      <c r="E64" s="4" t="n">
        <v>158.23</v>
      </c>
      <c r="F64" s="4" t="n">
        <v>139.13</v>
      </c>
      <c r="G64" s="4" t="n">
        <v>144.46</v>
      </c>
    </row>
    <row r="65">
      <c r="A65" t="inlineStr">
        <is>
          <t>2021-09</t>
        </is>
      </c>
      <c r="B65" s="4" t="n">
        <v>127.64</v>
      </c>
      <c r="C65" s="4" t="n">
        <v>157.23</v>
      </c>
      <c r="D65" s="4" t="n">
        <v>142.3</v>
      </c>
      <c r="E65" s="4" t="n">
        <v>173.64</v>
      </c>
      <c r="F65" s="4" t="n">
        <v>143.12</v>
      </c>
      <c r="G65" s="4" t="n">
        <v>148.99</v>
      </c>
    </row>
    <row r="66">
      <c r="A66" t="inlineStr">
        <is>
          <t>2021-10</t>
        </is>
      </c>
      <c r="B66" s="4" t="n">
        <v>136.27</v>
      </c>
      <c r="C66" s="4" t="n">
        <v>164.92</v>
      </c>
      <c r="D66" s="4" t="n">
        <v>154.36</v>
      </c>
      <c r="E66" s="4" t="n">
        <v>186.32</v>
      </c>
      <c r="F66" s="4" t="n">
        <v>146.98</v>
      </c>
      <c r="G66" s="4" t="n">
        <v>153.42</v>
      </c>
    </row>
    <row r="67">
      <c r="A67" t="inlineStr">
        <is>
          <t>2021-11</t>
        </is>
      </c>
      <c r="B67" s="4" t="n">
        <v>138.16</v>
      </c>
      <c r="C67" s="4" t="n">
        <v>172.36</v>
      </c>
      <c r="D67" s="4" t="n">
        <v>161.08</v>
      </c>
      <c r="E67" s="4" t="n">
        <v>202.49</v>
      </c>
      <c r="F67" s="4" t="n">
        <v>152.92</v>
      </c>
      <c r="G67" s="4" t="n">
        <v>158.35</v>
      </c>
    </row>
    <row r="68">
      <c r="A68" t="inlineStr">
        <is>
          <t>2021-12</t>
        </is>
      </c>
      <c r="B68" s="4" t="n">
        <v>144.57</v>
      </c>
      <c r="C68" s="4" t="n">
        <v>176.1</v>
      </c>
      <c r="D68" s="4" t="n">
        <v>163.81</v>
      </c>
      <c r="E68" s="4" t="n">
        <v>213.86</v>
      </c>
      <c r="F68" s="4" t="n">
        <v>157.17</v>
      </c>
      <c r="G68" s="4" t="n">
        <v>159.01</v>
      </c>
    </row>
    <row r="69">
      <c r="A69" t="inlineStr">
        <is>
          <t>2022-01</t>
        </is>
      </c>
      <c r="B69" s="4" t="n">
        <v>140.12</v>
      </c>
      <c r="C69" s="4" t="n">
        <v>175.77</v>
      </c>
      <c r="D69" s="4" t="n">
        <v>159.02</v>
      </c>
      <c r="E69" s="4" t="n">
        <v>216.13</v>
      </c>
      <c r="F69" s="4" t="n">
        <v>156.5</v>
      </c>
      <c r="G69" s="4" t="n">
        <v>156.44</v>
      </c>
    </row>
    <row r="70">
      <c r="A70" t="inlineStr">
        <is>
          <t>2022-02</t>
        </is>
      </c>
      <c r="B70" s="4" t="n">
        <v>146.58</v>
      </c>
      <c r="C70" s="4" t="n">
        <v>183.6</v>
      </c>
      <c r="D70" s="4" t="n">
        <v>168.74</v>
      </c>
      <c r="E70" s="4" t="n">
        <v>229.21</v>
      </c>
      <c r="F70" s="4" t="n">
        <v>159.2</v>
      </c>
      <c r="G70" s="4" t="n">
        <v>161.62</v>
      </c>
    </row>
    <row r="71">
      <c r="A71" t="inlineStr">
        <is>
          <t>2022-03</t>
        </is>
      </c>
      <c r="B71" s="4" t="n">
        <v>150.12</v>
      </c>
      <c r="C71" s="4" t="n">
        <v>184.65</v>
      </c>
      <c r="D71" s="4" t="n">
        <v>170.58</v>
      </c>
      <c r="E71" s="4" t="n">
        <v>228.77</v>
      </c>
      <c r="F71" s="4" t="n">
        <v>160.38</v>
      </c>
      <c r="G71" s="4" t="n">
        <v>165.16</v>
      </c>
    </row>
    <row r="72">
      <c r="A72" t="inlineStr">
        <is>
          <t>2022-04</t>
        </is>
      </c>
      <c r="B72" s="4" t="n">
        <v>150</v>
      </c>
      <c r="C72" s="4" t="n">
        <v>179.7</v>
      </c>
      <c r="D72" s="4" t="n">
        <v>167.83</v>
      </c>
      <c r="E72" s="4" t="n">
        <v>224.8</v>
      </c>
      <c r="F72" s="4" t="n">
        <v>159.82</v>
      </c>
      <c r="G72" s="4" t="n">
        <v>165.52</v>
      </c>
    </row>
    <row r="73">
      <c r="A73" t="inlineStr">
        <is>
          <t>2022-05</t>
        </is>
      </c>
      <c r="B73" s="4" t="n">
        <v>153.75</v>
      </c>
      <c r="C73" s="4" t="n">
        <v>175.51</v>
      </c>
      <c r="D73" s="4" t="n">
        <v>166.65</v>
      </c>
      <c r="E73" s="4" t="n">
        <v>226.68</v>
      </c>
      <c r="F73" s="4" t="n">
        <v>160.42</v>
      </c>
      <c r="G73" s="4" t="n">
        <v>166.82</v>
      </c>
    </row>
    <row r="74">
      <c r="A74" t="inlineStr">
        <is>
          <t>2022-06</t>
        </is>
      </c>
      <c r="B74" s="4" t="n">
        <v>148.67</v>
      </c>
      <c r="C74" s="4" t="n">
        <v>166.73</v>
      </c>
      <c r="D74" s="4" t="n">
        <v>160.27</v>
      </c>
      <c r="E74" s="4" t="n">
        <v>217.9</v>
      </c>
      <c r="F74" s="4" t="n">
        <v>158.61</v>
      </c>
      <c r="G74" s="4" t="n">
        <v>164.08</v>
      </c>
    </row>
    <row r="75">
      <c r="A75" t="inlineStr">
        <is>
          <t>2022-07</t>
        </is>
      </c>
      <c r="B75" s="4" t="n">
        <v>141.65</v>
      </c>
      <c r="C75" s="4" t="n">
        <v>155.89</v>
      </c>
      <c r="D75" s="4" t="n">
        <v>150.96</v>
      </c>
      <c r="E75" s="4" t="n">
        <v>202.06</v>
      </c>
      <c r="F75" s="4" t="n">
        <v>155.67</v>
      </c>
      <c r="G75" s="4" t="n">
        <v>160.19</v>
      </c>
    </row>
    <row r="76">
      <c r="A76" t="inlineStr">
        <is>
          <t>2022-08</t>
        </is>
      </c>
      <c r="B76" s="4" t="n">
        <v>136.53</v>
      </c>
      <c r="C76" s="4" t="n">
        <v>146.22</v>
      </c>
      <c r="D76" s="4" t="n">
        <v>145.21</v>
      </c>
      <c r="E76" s="4" t="n">
        <v>187.38</v>
      </c>
      <c r="F76" s="4" t="n">
        <v>153.45</v>
      </c>
      <c r="G76" s="4" t="n">
        <v>159.19</v>
      </c>
    </row>
    <row r="77">
      <c r="A77" t="inlineStr">
        <is>
          <t>2022-09</t>
        </is>
      </c>
      <c r="B77" s="4" t="n">
        <v>133.43</v>
      </c>
      <c r="C77" s="4" t="n">
        <v>138.78</v>
      </c>
      <c r="D77" s="4" t="n">
        <v>136.56</v>
      </c>
      <c r="E77" s="4" t="n">
        <v>173.96</v>
      </c>
      <c r="F77" s="4" t="n">
        <v>150.6</v>
      </c>
      <c r="G77" s="4" t="n">
        <v>156.62</v>
      </c>
    </row>
    <row r="78">
      <c r="A78" t="inlineStr">
        <is>
          <t>2022-10</t>
        </is>
      </c>
      <c r="B78" s="4" t="n">
        <v>130.82</v>
      </c>
      <c r="C78" s="4" t="n">
        <v>131.44</v>
      </c>
      <c r="D78" s="4" t="n">
        <v>137.99</v>
      </c>
      <c r="E78" s="4" t="n">
        <v>160.73</v>
      </c>
      <c r="F78" s="4" t="n">
        <v>148.52</v>
      </c>
      <c r="G78" s="4" t="n">
        <v>154.95</v>
      </c>
    </row>
    <row r="79">
      <c r="A79" t="inlineStr">
        <is>
          <t>2022-11</t>
        </is>
      </c>
      <c r="B79" s="4" t="n">
        <v>126.51</v>
      </c>
      <c r="C79" s="4" t="n">
        <v>125.1</v>
      </c>
      <c r="D79" s="4" t="n">
        <v>128.87</v>
      </c>
      <c r="E79" s="4" t="n">
        <v>147.09</v>
      </c>
      <c r="F79" s="4" t="n">
        <v>147.74</v>
      </c>
      <c r="G79" s="4" t="n">
        <v>153</v>
      </c>
    </row>
    <row r="80">
      <c r="A80" t="inlineStr">
        <is>
          <t>2022-12</t>
        </is>
      </c>
      <c r="B80" s="4" t="n">
        <v>120.68</v>
      </c>
      <c r="C80" s="4" t="n">
        <v>118.18</v>
      </c>
      <c r="D80" s="4" t="n">
        <v>119.9</v>
      </c>
      <c r="E80" s="4" t="n">
        <v>135.28</v>
      </c>
      <c r="F80" s="4" t="n">
        <v>144.42</v>
      </c>
      <c r="G80" s="4" t="n">
        <v>146.06</v>
      </c>
    </row>
    <row r="81">
      <c r="A81" t="inlineStr">
        <is>
          <t>2023-01</t>
        </is>
      </c>
      <c r="B81" s="4" t="n">
        <v>114.99</v>
      </c>
      <c r="C81" s="4" t="n">
        <v>112.67</v>
      </c>
      <c r="D81" s="4" t="n">
        <v>112.99</v>
      </c>
      <c r="E81" s="4" t="n">
        <v>126.33</v>
      </c>
      <c r="F81" s="4" t="n">
        <v>140.58</v>
      </c>
      <c r="G81" s="4" t="n">
        <v>140.33</v>
      </c>
    </row>
    <row r="82">
      <c r="A82" t="inlineStr">
        <is>
          <t>2023-02</t>
        </is>
      </c>
      <c r="B82" s="4" t="n">
        <v>108.65</v>
      </c>
      <c r="C82" s="4" t="n">
        <v>105.67</v>
      </c>
      <c r="D82" s="4" t="n">
        <v>109.05</v>
      </c>
      <c r="E82" s="4" t="n">
        <v>114.17</v>
      </c>
      <c r="F82" s="4" t="n">
        <v>136.57</v>
      </c>
      <c r="G82" s="4" t="n">
        <v>138.59</v>
      </c>
    </row>
    <row r="83">
      <c r="A83" t="inlineStr">
        <is>
          <t>2023-03</t>
        </is>
      </c>
      <c r="B83" s="4" t="n">
        <v>105.52</v>
      </c>
      <c r="C83" s="4" t="n">
        <v>100.32</v>
      </c>
      <c r="D83" s="4" t="n">
        <v>106.49</v>
      </c>
      <c r="E83" s="4" t="n">
        <v>102.55</v>
      </c>
      <c r="F83" s="4" t="n">
        <v>134.95</v>
      </c>
      <c r="G83" s="4" t="n">
        <v>139.16</v>
      </c>
    </row>
    <row r="84">
      <c r="A84" t="inlineStr">
        <is>
          <t>2023-04</t>
        </is>
      </c>
      <c r="B84" s="4" t="n">
        <v>103.43</v>
      </c>
      <c r="C84" s="4" t="n">
        <v>99.73999999999999</v>
      </c>
      <c r="D84" s="4" t="n">
        <v>104.34</v>
      </c>
      <c r="E84" s="4" t="n">
        <v>98.18000000000001</v>
      </c>
      <c r="F84" s="4" t="n">
        <v>136.02</v>
      </c>
      <c r="G84" s="4" t="n">
        <v>140.94</v>
      </c>
    </row>
    <row r="85">
      <c r="A85" t="inlineStr">
        <is>
          <t>2023-05</t>
        </is>
      </c>
      <c r="B85" s="4" t="n">
        <v>101.76</v>
      </c>
      <c r="C85" s="4" t="n">
        <v>96.54000000000001</v>
      </c>
      <c r="D85" s="4" t="n">
        <v>101.42</v>
      </c>
      <c r="E85" s="4" t="n">
        <v>97.37</v>
      </c>
      <c r="F85" s="4" t="n">
        <v>134.69</v>
      </c>
      <c r="G85" s="4" t="n">
        <v>140.11</v>
      </c>
    </row>
    <row r="86">
      <c r="A86" t="inlineStr">
        <is>
          <t>2023-06</t>
        </is>
      </c>
      <c r="B86" s="4" t="n">
        <v>100.59</v>
      </c>
      <c r="C86" s="4" t="n">
        <v>91.78</v>
      </c>
      <c r="D86" s="4" t="n">
        <v>99.08</v>
      </c>
      <c r="E86" s="4" t="n">
        <v>86.95999999999999</v>
      </c>
      <c r="F86" s="4" t="n">
        <v>131.81</v>
      </c>
      <c r="G86" s="4" t="n">
        <v>136.23</v>
      </c>
    </row>
    <row r="87">
      <c r="A87" t="inlineStr">
        <is>
          <t>2023-07</t>
        </is>
      </c>
      <c r="B87" s="4" t="n">
        <v>100.15</v>
      </c>
      <c r="C87" s="4" t="n">
        <v>88.72</v>
      </c>
      <c r="D87" s="4" t="n">
        <v>92.66</v>
      </c>
      <c r="E87" s="4" t="n">
        <v>83.54000000000001</v>
      </c>
      <c r="F87" s="4" t="n">
        <v>129.43</v>
      </c>
      <c r="G87" s="4" t="n">
        <v>133.03</v>
      </c>
    </row>
    <row r="88">
      <c r="A88" t="inlineStr">
        <is>
          <t>2023-08</t>
        </is>
      </c>
      <c r="B88" s="4" t="n">
        <v>99.34</v>
      </c>
      <c r="C88" s="4" t="n">
        <v>88.36</v>
      </c>
      <c r="D88" s="4" t="n">
        <v>89.61</v>
      </c>
      <c r="E88" s="4" t="n">
        <v>79.41</v>
      </c>
      <c r="F88" s="4" t="n">
        <v>128.5</v>
      </c>
      <c r="G88" s="4" t="n">
        <v>133.47</v>
      </c>
    </row>
    <row r="89">
      <c r="A89" t="inlineStr">
        <is>
          <t>2023-09</t>
        </is>
      </c>
      <c r="B89" s="4" t="n">
        <v>99.2</v>
      </c>
      <c r="C89" s="4" t="n">
        <v>87.44</v>
      </c>
      <c r="D89" s="4" t="n">
        <v>88.28</v>
      </c>
      <c r="E89" s="4" t="n">
        <v>77.29000000000001</v>
      </c>
      <c r="F89" s="4" t="n">
        <v>127.04</v>
      </c>
      <c r="G89" s="4" t="n">
        <v>132.31</v>
      </c>
    </row>
    <row r="90">
      <c r="A90" t="inlineStr">
        <is>
          <t>2023-10</t>
        </is>
      </c>
      <c r="B90" s="4" t="n">
        <v>96.25</v>
      </c>
      <c r="C90" s="4" t="n">
        <v>86.23999999999999</v>
      </c>
      <c r="D90" s="4" t="n">
        <v>88.78</v>
      </c>
      <c r="E90" s="4" t="n">
        <v>75.16</v>
      </c>
      <c r="F90" s="4" t="n">
        <v>124.94</v>
      </c>
      <c r="G90" s="4" t="n">
        <v>130.61</v>
      </c>
    </row>
    <row r="91">
      <c r="A91" t="inlineStr">
        <is>
          <t>2023-11</t>
        </is>
      </c>
      <c r="B91" s="4" t="n">
        <v>94.53</v>
      </c>
      <c r="C91" s="4" t="n">
        <v>85.23999999999999</v>
      </c>
      <c r="D91" s="4" t="n">
        <v>87.41</v>
      </c>
      <c r="E91" s="4" t="n">
        <v>73</v>
      </c>
      <c r="F91" s="4" t="n">
        <v>123.26</v>
      </c>
      <c r="G91" s="4" t="n">
        <v>127.79</v>
      </c>
    </row>
    <row r="92">
      <c r="A92" t="inlineStr">
        <is>
          <t>2023-12</t>
        </is>
      </c>
      <c r="B92" s="4" t="n">
        <v>93.79000000000001</v>
      </c>
      <c r="C92" s="4" t="n">
        <v>84.23</v>
      </c>
      <c r="D92" s="4" t="n">
        <v>85.18000000000001</v>
      </c>
      <c r="E92" s="4" t="n">
        <v>72.5</v>
      </c>
      <c r="F92" s="4" t="n">
        <v>121.28</v>
      </c>
      <c r="G92" s="4" t="n">
        <v>122.4</v>
      </c>
    </row>
    <row r="93">
      <c r="A93" t="inlineStr">
        <is>
          <t>2024-01</t>
        </is>
      </c>
      <c r="B93" s="4" t="n">
        <v>93.59</v>
      </c>
      <c r="C93" s="4" t="n">
        <v>83.12</v>
      </c>
      <c r="D93" s="4" t="n">
        <v>84.78</v>
      </c>
      <c r="E93" s="4" t="n">
        <v>71.83</v>
      </c>
      <c r="F93" s="4" t="n">
        <v>119.38</v>
      </c>
      <c r="G93" s="4" t="n">
        <v>118.63</v>
      </c>
    </row>
    <row r="94">
      <c r="A94" t="inlineStr">
        <is>
          <t>2024-02</t>
        </is>
      </c>
      <c r="B94" s="4" t="n">
        <v>93.70999999999999</v>
      </c>
      <c r="C94" s="4" t="n">
        <v>81.11</v>
      </c>
      <c r="D94" s="4" t="n">
        <v>85.90000000000001</v>
      </c>
      <c r="E94" s="4" t="n">
        <v>71.14</v>
      </c>
      <c r="F94" s="4" t="n">
        <v>118.21</v>
      </c>
      <c r="G94" s="4" t="n">
        <v>119.81</v>
      </c>
    </row>
    <row r="95">
      <c r="A95" t="inlineStr">
        <is>
          <t>2024-03</t>
        </is>
      </c>
      <c r="B95" s="4" t="n">
        <v>92.89</v>
      </c>
      <c r="C95" s="4" t="n">
        <v>80.95999999999999</v>
      </c>
      <c r="D95" s="4" t="n">
        <v>84.95999999999999</v>
      </c>
      <c r="E95" s="4" t="n">
        <v>70.8</v>
      </c>
      <c r="F95" s="4" t="n">
        <v>118.58</v>
      </c>
      <c r="G95" s="4" t="n">
        <v>122.38</v>
      </c>
    </row>
    <row r="96">
      <c r="A96" t="inlineStr">
        <is>
          <t>2024-04</t>
        </is>
      </c>
      <c r="B96" s="4" t="n">
        <v>90.94</v>
      </c>
      <c r="C96" s="4" t="n">
        <v>81.2</v>
      </c>
      <c r="D96" s="4" t="n">
        <v>82.53</v>
      </c>
      <c r="E96" s="4" t="n">
        <v>70.40000000000001</v>
      </c>
      <c r="F96" s="4" t="n">
        <v>118.51</v>
      </c>
      <c r="G96" s="4" t="n">
        <v>122.91</v>
      </c>
    </row>
    <row r="97">
      <c r="A97" t="inlineStr">
        <is>
          <t>2024-05</t>
        </is>
      </c>
      <c r="B97" s="4" t="n">
        <v>90.84999999999999</v>
      </c>
      <c r="C97" s="4" t="n">
        <v>80.63</v>
      </c>
      <c r="D97" s="4" t="n">
        <v>80.86</v>
      </c>
      <c r="E97" s="4" t="n">
        <v>69.17</v>
      </c>
      <c r="F97" s="4" t="n">
        <v>115.85</v>
      </c>
      <c r="G97" s="4" t="n">
        <v>120.67</v>
      </c>
    </row>
    <row r="98">
      <c r="A98" t="inlineStr">
        <is>
          <t>2024-06</t>
        </is>
      </c>
      <c r="B98" s="4" t="n">
        <v>90.29000000000001</v>
      </c>
      <c r="C98" s="4" t="n">
        <v>79.84999999999999</v>
      </c>
      <c r="D98" s="4" t="n">
        <v>80.61</v>
      </c>
      <c r="E98" s="4" t="n">
        <v>69.91</v>
      </c>
      <c r="F98" s="4" t="n">
        <v>114.22</v>
      </c>
      <c r="G98" s="4" t="n">
        <v>118.06</v>
      </c>
    </row>
    <row r="99">
      <c r="A99" t="inlineStr">
        <is>
          <t>2024-07</t>
        </is>
      </c>
      <c r="B99" s="4" t="n">
        <v>87.56999999999999</v>
      </c>
      <c r="C99" s="4" t="n">
        <v>79.69</v>
      </c>
      <c r="D99" s="4" t="n">
        <v>79.42</v>
      </c>
      <c r="E99" s="4" t="n">
        <v>70.13</v>
      </c>
      <c r="F99" s="4" t="n">
        <v>113.66</v>
      </c>
      <c r="G99" s="4" t="n">
        <v>116.76</v>
      </c>
    </row>
    <row r="100">
      <c r="A100" t="inlineStr">
        <is>
          <t>2024-08</t>
        </is>
      </c>
      <c r="B100" s="4" t="n">
        <v>85.7</v>
      </c>
      <c r="C100" s="4" t="n">
        <v>79.31</v>
      </c>
      <c r="D100" s="4" t="n">
        <v>77.04000000000001</v>
      </c>
      <c r="E100" s="4" t="n">
        <v>68.45999999999999</v>
      </c>
      <c r="F100" s="4" t="n">
        <v>113.36</v>
      </c>
      <c r="G100" s="4" t="n">
        <v>117.88</v>
      </c>
    </row>
    <row r="101">
      <c r="A101" t="inlineStr">
        <is>
          <t>2024-09</t>
        </is>
      </c>
      <c r="B101" s="4" t="n">
        <v>85.26000000000001</v>
      </c>
      <c r="C101" s="4" t="n">
        <v>80.88</v>
      </c>
      <c r="D101" s="4" t="n">
        <v>76.97</v>
      </c>
      <c r="E101" s="4" t="n">
        <v>69.39</v>
      </c>
      <c r="F101" s="4" t="n">
        <v>112.42</v>
      </c>
      <c r="G101" s="4" t="n">
        <v>117.25</v>
      </c>
    </row>
    <row r="102">
      <c r="A102" t="inlineStr">
        <is>
          <t>2024-10</t>
        </is>
      </c>
      <c r="B102" s="4" t="n">
        <v>83.8</v>
      </c>
      <c r="C102" s="4" t="n">
        <v>78.39</v>
      </c>
      <c r="D102" s="4" t="n">
        <v>77.27</v>
      </c>
      <c r="E102" s="4" t="n">
        <v>68.65000000000001</v>
      </c>
      <c r="F102" s="4" t="n">
        <v>110.05</v>
      </c>
      <c r="G102" s="4" t="n">
        <v>115.27</v>
      </c>
    </row>
    <row r="103">
      <c r="A103" t="inlineStr">
        <is>
          <t>2024-11</t>
        </is>
      </c>
      <c r="B103" s="4" t="n">
        <v>86.31999999999999</v>
      </c>
      <c r="C103" s="4" t="n">
        <v>77.90000000000001</v>
      </c>
      <c r="D103" s="4" t="n">
        <v>74.75</v>
      </c>
      <c r="E103" s="4" t="n">
        <v>67.31999999999999</v>
      </c>
      <c r="F103" s="4" t="n">
        <v>109.49</v>
      </c>
      <c r="G103" s="4" t="n">
        <v>113.64</v>
      </c>
    </row>
    <row r="104">
      <c r="A104" t="inlineStr">
        <is>
          <t>2024-12</t>
        </is>
      </c>
      <c r="B104" s="4" t="n">
        <v>89.79000000000001</v>
      </c>
      <c r="C104" s="4" t="n">
        <v>79.23999999999999</v>
      </c>
      <c r="D104" s="4" t="n">
        <v>74.58</v>
      </c>
      <c r="E104" s="4" t="n">
        <v>67.43000000000001</v>
      </c>
      <c r="F104" s="4" t="n">
        <v>110.27</v>
      </c>
      <c r="G104" s="4" t="n">
        <v>111.1</v>
      </c>
    </row>
    <row r="105">
      <c r="A105" t="inlineStr">
        <is>
          <t>2025-01</t>
        </is>
      </c>
      <c r="B105" s="4" t="n">
        <v>85.81</v>
      </c>
      <c r="C105" s="4" t="n">
        <v>82.14</v>
      </c>
      <c r="D105" s="4" t="n">
        <v>74.84999999999999</v>
      </c>
      <c r="E105" s="4" t="n">
        <v>67.45999999999999</v>
      </c>
      <c r="F105" s="4" t="n">
        <v>110.15</v>
      </c>
      <c r="G105" s="4" t="n">
        <v>109.21</v>
      </c>
    </row>
    <row r="106">
      <c r="A106" t="inlineStr">
        <is>
          <t>2025-02</t>
        </is>
      </c>
      <c r="B106" s="4" t="n">
        <v>83.83</v>
      </c>
      <c r="C106" s="4" t="n">
        <v>79.78</v>
      </c>
      <c r="D106" s="4" t="n">
        <v>69.90000000000001</v>
      </c>
      <c r="E106" s="4" t="n">
        <v>64.86</v>
      </c>
      <c r="F106" s="4" t="n">
        <v>109.3</v>
      </c>
      <c r="G106" s="4" t="n">
        <v>110.69</v>
      </c>
    </row>
    <row r="107">
      <c r="A107" t="inlineStr">
        <is>
          <t>2025-03</t>
        </is>
      </c>
      <c r="B107" s="4" t="n">
        <v>82.02</v>
      </c>
      <c r="C107" s="4" t="n">
        <v>77.39</v>
      </c>
      <c r="D107" s="4" t="n">
        <v>67.5</v>
      </c>
      <c r="E107" s="4" t="n">
        <v>62.32</v>
      </c>
      <c r="F107" s="4" t="n">
        <v>107.76</v>
      </c>
      <c r="G107" s="4" t="n">
        <v>111.31</v>
      </c>
    </row>
    <row r="108">
      <c r="A108" t="inlineStr">
        <is>
          <t>2025-04</t>
        </is>
      </c>
      <c r="B108" s="4" t="n">
        <v>79.81999999999999</v>
      </c>
      <c r="C108" s="4" t="n">
        <v>75.69</v>
      </c>
      <c r="D108" s="4" t="n">
        <v>65.48999999999999</v>
      </c>
      <c r="E108" s="4" t="n">
        <v>63.55</v>
      </c>
      <c r="F108" s="4" t="n">
        <v>106.76</v>
      </c>
      <c r="G108" s="4" t="n">
        <v>110.79</v>
      </c>
    </row>
    <row r="109">
      <c r="A109" t="inlineStr">
        <is>
          <t>2025-05</t>
        </is>
      </c>
      <c r="B109" s="4" t="n">
        <v>77.40000000000001</v>
      </c>
      <c r="C109" s="4" t="n">
        <v>74.59</v>
      </c>
      <c r="D109" s="4" t="n">
        <v>62.87</v>
      </c>
      <c r="E109" s="4" t="n">
        <v>62.69</v>
      </c>
      <c r="F109" s="4" t="n">
        <v>105.89</v>
      </c>
      <c r="G109" s="4" t="n">
        <v>110.35</v>
      </c>
    </row>
    <row r="110">
      <c r="A110" t="inlineStr">
        <is>
          <t>2025-06</t>
        </is>
      </c>
      <c r="B110" s="4" t="n">
        <v>77.43000000000001</v>
      </c>
      <c r="C110" s="4" t="n">
        <v>74.98</v>
      </c>
      <c r="D110" s="4" t="n">
        <v>63.56</v>
      </c>
      <c r="E110" s="4" t="n">
        <v>65.38</v>
      </c>
      <c r="F110" s="4" t="n">
        <v>105.3</v>
      </c>
      <c r="G110" s="4" t="n">
        <v>108.81</v>
      </c>
    </row>
    <row r="111">
      <c r="A111" t="inlineStr">
        <is>
          <t>2025-07</t>
        </is>
      </c>
      <c r="B111" s="4" t="n">
        <v>77.13</v>
      </c>
      <c r="C111" s="4" t="n">
        <v>74.77</v>
      </c>
      <c r="D111" s="4" t="n">
        <v>65.22</v>
      </c>
      <c r="E111" s="4" t="n">
        <v>65.45999999999999</v>
      </c>
      <c r="F111" s="4" t="n">
        <v>104.31</v>
      </c>
      <c r="G111" s="4" t="n">
        <v>107.1</v>
      </c>
    </row>
    <row r="112">
      <c r="A112" t="inlineStr">
        <is>
          <t>2025-08</t>
        </is>
      </c>
      <c r="B112" s="4" t="n">
        <v>77.59999999999999</v>
      </c>
      <c r="C112" s="4" t="n">
        <v>77.31999999999999</v>
      </c>
      <c r="D112" s="4" t="n">
        <v>62.54</v>
      </c>
      <c r="E112" s="4" t="n">
        <v>66.16</v>
      </c>
      <c r="F112" s="4" t="n">
        <v>104.77</v>
      </c>
      <c r="G112" s="4" t="n">
        <v>109.04</v>
      </c>
    </row>
    <row r="113">
      <c r="A113" t="inlineStr">
        <is>
          <t>2025-09</t>
        </is>
      </c>
      <c r="B113" s="4" t="n">
        <v>77.08</v>
      </c>
      <c r="C113" s="4" t="n">
        <v>77.73</v>
      </c>
      <c r="D113" s="4" t="n">
        <v>62.98</v>
      </c>
      <c r="E113" s="4" t="n">
        <v>64.76000000000001</v>
      </c>
      <c r="F113" s="4" t="n">
        <v>102.8</v>
      </c>
      <c r="G113" s="4" t="n">
        <v>107.32</v>
      </c>
    </row>
    <row r="114">
      <c r="A114" t="inlineStr">
        <is>
          <t>2025-10</t>
        </is>
      </c>
      <c r="B114" s="4" t="n">
        <v>78.48</v>
      </c>
      <c r="C114" s="4" t="n">
        <v>77.89</v>
      </c>
      <c r="D114" s="4" t="n">
        <v>64.73</v>
      </c>
      <c r="E114" s="4" t="n">
        <v>64.94</v>
      </c>
      <c r="F114" s="4" t="n">
        <v>100.95</v>
      </c>
      <c r="G114" s="4" t="n">
        <v>105.87</v>
      </c>
    </row>
    <row r="115">
      <c r="A115" t="inlineStr">
        <is>
          <t>2025-11</t>
        </is>
      </c>
      <c r="B115" s="4" t="n">
        <v>79.84</v>
      </c>
      <c r="C115" s="4" t="n">
        <v>78.51000000000001</v>
      </c>
      <c r="D115" s="4" t="n">
        <v>65.23999999999999</v>
      </c>
      <c r="E115" s="4" t="n">
        <v>66.23999999999999</v>
      </c>
      <c r="F115" s="4" t="n">
        <v>101.34</v>
      </c>
      <c r="G115" s="4" t="n">
        <v>105.23</v>
      </c>
    </row>
    <row r="116">
      <c r="A116" t="inlineStr">
        <is>
          <t>2025-12</t>
        </is>
      </c>
      <c r="B116" s="4" t="n">
        <v>80.83</v>
      </c>
      <c r="C116" s="4" t="n">
        <v>79.61</v>
      </c>
      <c r="D116" s="4" t="n">
        <v>67.56</v>
      </c>
      <c r="E116" s="4" t="n">
        <v>66.95</v>
      </c>
      <c r="F116" s="4" t="n">
        <v>102.9</v>
      </c>
      <c r="G116" s="4" t="n">
        <v>103.6</v>
      </c>
    </row>
    <row r="117">
      <c r="A117" t="inlineStr">
        <is>
          <t>2026-01</t>
        </is>
      </c>
      <c r="B117" s="4" t="n">
        <v>82.77</v>
      </c>
      <c r="C117" s="4" t="n">
        <v>79.28</v>
      </c>
      <c r="D117" s="4" t="n">
        <v>67.20999999999999</v>
      </c>
      <c r="E117" s="4" t="n">
        <v>68.15000000000001</v>
      </c>
      <c r="F117" s="4" t="n">
        <v>103.27</v>
      </c>
      <c r="G117" s="4" t="n">
        <v>102.63</v>
      </c>
    </row>
    <row r="118">
      <c r="A118" t="inlineStr">
        <is>
          <t>2026-02</t>
        </is>
      </c>
      <c r="B118" s="4" t="n">
        <v>85.89</v>
      </c>
      <c r="C118" s="4" t="n">
        <v>76.77</v>
      </c>
      <c r="D118" s="4" t="n">
        <v>67.27</v>
      </c>
      <c r="E118" s="4" t="n">
        <v>70.29000000000001</v>
      </c>
      <c r="F118" s="4" t="n">
        <v>104.57</v>
      </c>
      <c r="G118" s="4" t="n">
        <v>106</v>
      </c>
    </row>
    <row r="119">
      <c r="A119" t="inlineStr">
        <is>
          <t>2026-03</t>
        </is>
      </c>
      <c r="B119" s="4" t="n">
        <v>86.97</v>
      </c>
      <c r="C119" s="4" t="n">
        <v>74.87</v>
      </c>
      <c r="D119" s="4" t="n">
        <v>65.14</v>
      </c>
      <c r="E119" s="4" t="n">
        <v>71.56</v>
      </c>
      <c r="F119" s="4" t="n">
        <v>103.86</v>
      </c>
      <c r="G119" s="4" t="n">
        <v>107.18</v>
      </c>
    </row>
    <row r="120">
      <c r="A120" t="inlineStr">
        <is>
          <t>2026-04</t>
        </is>
      </c>
      <c r="B120" s="4" t="n">
        <v>84.05</v>
      </c>
      <c r="C120" s="4" t="n">
        <v>74.09999999999999</v>
      </c>
      <c r="D120" s="4" t="n">
        <v>62.33</v>
      </c>
      <c r="E120" s="4" t="n">
        <v>72.83</v>
      </c>
      <c r="F120" s="4" t="n">
        <v>102.68</v>
      </c>
      <c r="G120" s="4" t="n">
        <v>106.47</v>
      </c>
    </row>
    <row r="121">
      <c r="A121" t="inlineStr">
        <is>
          <t>2026-05</t>
        </is>
      </c>
      <c r="B121" s="4" t="n">
        <v>83.54000000000001</v>
      </c>
      <c r="C121" s="4" t="n">
        <v>75.83</v>
      </c>
      <c r="D121" s="4" t="n">
        <v>62.84</v>
      </c>
      <c r="E121" s="4" t="n">
        <v>74.15000000000001</v>
      </c>
      <c r="F121" s="4" t="n">
        <v>101.94</v>
      </c>
      <c r="G121" s="4" t="n">
        <v>106.15</v>
      </c>
    </row>
    <row r="122">
      <c r="A122" t="inlineStr">
        <is>
          <t>2026-06</t>
        </is>
      </c>
      <c r="B122" s="4" t="n">
        <v>81.68000000000001</v>
      </c>
      <c r="C122" s="4" t="n">
        <v>74.06</v>
      </c>
      <c r="D122" s="4" t="n">
        <v>64.31999999999999</v>
      </c>
      <c r="E122" s="4" t="n">
        <v>73.17</v>
      </c>
      <c r="F122" s="4" t="n">
        <v>100.77</v>
      </c>
      <c r="G122" s="4" t="n">
        <v>104.15</v>
      </c>
    </row>
    <row r="123">
      <c r="A123" t="inlineStr">
        <is>
          <t>2026-07</t>
        </is>
      </c>
      <c r="B123" s="4" t="n">
        <v>81.43000000000001</v>
      </c>
      <c r="C123" s="4" t="n">
        <v>74.73</v>
      </c>
      <c r="D123" s="4" t="n">
        <v>66.72</v>
      </c>
      <c r="E123" s="4" t="n">
        <v>75.03</v>
      </c>
      <c r="F123" s="4" t="n">
        <v>101.59</v>
      </c>
      <c r="G123" s="4" t="n">
        <v>104.37</v>
      </c>
    </row>
    <row r="124">
      <c r="A124" t="inlineStr">
        <is>
          <t>2026-08</t>
        </is>
      </c>
      <c r="B124" s="4" t="n">
        <v>82.05</v>
      </c>
      <c r="C124" s="4" t="n">
        <v>76.48</v>
      </c>
      <c r="D124" s="4" t="n">
        <v>71.84</v>
      </c>
      <c r="E124" s="4" t="n">
        <v>74.40000000000001</v>
      </c>
      <c r="F124" s="4" t="n">
        <v>101.88</v>
      </c>
      <c r="G124" s="4" t="n">
        <v>105.94</v>
      </c>
    </row>
    <row r="125">
      <c r="A125" t="inlineStr">
        <is>
          <t>2026-09</t>
        </is>
      </c>
      <c r="B125" s="4" t="n">
        <v>84.19</v>
      </c>
      <c r="C125" s="4" t="n">
        <v>76.31999999999999</v>
      </c>
      <c r="D125" s="4" t="n">
        <v>70.73</v>
      </c>
      <c r="E125" s="4" t="n">
        <v>76.91</v>
      </c>
      <c r="F125" s="4" t="n">
        <v>103.15</v>
      </c>
      <c r="G125" s="4" t="n">
        <v>107.48</v>
      </c>
    </row>
    <row r="126">
      <c r="A126" t="inlineStr">
        <is>
          <t>Latest YoY % (f)</t>
        </is>
      </c>
      <c r="B126" s="8">
        <f>B125/B113-1</f>
        <v/>
      </c>
      <c r="C126" s="8">
        <f>C125/C113-1</f>
        <v/>
      </c>
      <c r="D126" s="8">
        <f>D125/D113-1</f>
        <v/>
      </c>
      <c r="E126" s="8">
        <f>E125/E113-1</f>
        <v/>
      </c>
      <c r="F126" s="8">
        <f>F125/F113-1</f>
        <v/>
      </c>
      <c r="G126" s="8">
        <f>G125/G113-1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24" customWidth="1" min="4" max="4"/>
    <col width="28" customWidth="1" min="5" max="5"/>
    <col width="27" customWidth="1" min="6" max="6"/>
    <col width="17" customWidth="1" min="7" max="7"/>
    <col width="32" customWidth="1" min="8" max="8"/>
    <col width="31" customWidth="1" min="9" max="9"/>
    <col width="27" customWidth="1" min="10" max="10"/>
    <col width="19" customWidth="1" min="11" max="11"/>
    <col width="26" customWidth="1" min="12" max="12"/>
    <col width="20" customWidth="1" min="13" max="13"/>
    <col width="27" customWidth="1" min="14" max="14"/>
    <col width="10" customWidth="1" min="15" max="15"/>
    <col width="13" customWidth="1" min="16" max="16"/>
    <col width="23" customWidth="1" min="17" max="17"/>
    <col width="30" customWidth="1" min="18" max="18"/>
    <col width="24" customWidth="1" min="19" max="19"/>
    <col width="31" customWidth="1" min="20" max="20"/>
    <col width="45" customWidth="1" min="21" max="21"/>
    <col width="45" customWidth="1" min="22" max="22"/>
  </cols>
  <sheetData>
    <row r="1">
      <c r="A1" s="1" t="inlineStr">
        <is>
          <t>WS3: AI task exposure by creative-workflow stage (blue = computed from O*NET + Eloundou labels; black = formula)</t>
        </is>
      </c>
    </row>
    <row r="2"/>
    <row r="3">
      <c r="A3" s="2" t="inlineStr">
        <is>
          <t>Highly exposed = Eloundou E1 or E2 (gamma). Weights: equal within occupation; occupations by BLS OEWS May 2021 employment. Monetization = analyst ESTIMATE (ws3 data/stage_monetization.csv).</t>
        </is>
      </c>
    </row>
    <row r="4">
      <c r="A4" s="1" t="inlineStr">
        <is>
          <t>Scheme: 4 creative occupations (27-1024, 27-1011, 27-1014, 27-4032)</t>
        </is>
      </c>
    </row>
    <row r="5">
      <c r="A5" s="3" t="inlineStr">
        <is>
          <t>stage</t>
        </is>
      </c>
      <c r="B5" s="3" t="inlineStr">
        <is>
          <t>monetization</t>
        </is>
      </c>
      <c r="C5" s="3" t="inlineStr">
        <is>
          <t>n_tasks</t>
        </is>
      </c>
      <c r="D5" s="3" t="inlineStr">
        <is>
          <t>stage_weight_share</t>
        </is>
      </c>
      <c r="E5" s="3" t="inlineStr">
        <is>
          <t>share_highly_exposed_human</t>
        </is>
      </c>
      <c r="F5" s="3" t="inlineStr">
        <is>
          <t>share_highly_exposed_gpt4</t>
        </is>
      </c>
      <c r="G5" s="3" t="inlineStr">
        <is>
          <t>mean_beta_human</t>
        </is>
      </c>
      <c r="H5" s="3" t="inlineStr">
        <is>
          <t>exposed_weight_human (formula)</t>
        </is>
      </c>
      <c r="I5" s="3" t="inlineStr">
        <is>
          <t>exposed_weight_gpt4 (formula)</t>
        </is>
      </c>
    </row>
    <row r="6">
      <c r="A6" t="inlineStr">
        <is>
          <t>ideation/concepting</t>
        </is>
      </c>
      <c r="B6" t="inlineStr">
        <is>
          <t>seat</t>
        </is>
      </c>
      <c r="C6" s="4" t="n">
        <v>10</v>
      </c>
      <c r="D6" s="9" t="n">
        <v>0.218</v>
      </c>
      <c r="E6" s="9" t="n">
        <v>1</v>
      </c>
      <c r="F6" s="9" t="n">
        <v>1</v>
      </c>
      <c r="G6" s="4" t="n">
        <v>0.5095</v>
      </c>
      <c r="H6" s="8">
        <f>D6*E6</f>
        <v/>
      </c>
      <c r="I6" s="8">
        <f>D6*F6</f>
        <v/>
      </c>
    </row>
    <row r="7">
      <c r="A7" t="inlineStr">
        <is>
          <t>asset generation</t>
        </is>
      </c>
      <c r="B7" t="inlineStr">
        <is>
          <t>seat</t>
        </is>
      </c>
      <c r="C7" s="4" t="n">
        <v>13</v>
      </c>
      <c r="D7" s="9" t="n">
        <v>0.2209</v>
      </c>
      <c r="E7" s="9" t="n">
        <v>0.9813</v>
      </c>
      <c r="F7" s="9" t="n">
        <v>1</v>
      </c>
      <c r="G7" s="4" t="n">
        <v>0.4906</v>
      </c>
      <c r="H7" s="8">
        <f>D7*E7</f>
        <v/>
      </c>
      <c r="I7" s="8">
        <f>D7*F7</f>
        <v/>
      </c>
    </row>
    <row r="8">
      <c r="A8" t="inlineStr">
        <is>
          <t>editing/retouching/compositing</t>
        </is>
      </c>
      <c r="B8" t="inlineStr">
        <is>
          <t>seat</t>
        </is>
      </c>
      <c r="C8" s="4" t="n">
        <v>16</v>
      </c>
      <c r="D8" s="9" t="n">
        <v>0.067</v>
      </c>
      <c r="E8" s="9" t="n">
        <v>0.8764999999999999</v>
      </c>
      <c r="F8" s="9" t="n">
        <v>1</v>
      </c>
      <c r="G8" s="4" t="n">
        <v>0.5309</v>
      </c>
      <c r="H8" s="8">
        <f>D8*E8</f>
        <v/>
      </c>
      <c r="I8" s="8">
        <f>D8*F8</f>
        <v/>
      </c>
    </row>
    <row r="9">
      <c r="A9" t="inlineStr">
        <is>
          <t>layout/design</t>
        </is>
      </c>
      <c r="B9" t="inlineStr">
        <is>
          <t>seat</t>
        </is>
      </c>
      <c r="C9" s="4" t="n">
        <v>4</v>
      </c>
      <c r="D9" s="9" t="n">
        <v>0.1005</v>
      </c>
      <c r="E9" s="9" t="n">
        <v>0.5691000000000001</v>
      </c>
      <c r="F9" s="9" t="n">
        <v>1</v>
      </c>
      <c r="G9" s="4" t="n">
        <v>0.2845</v>
      </c>
      <c r="H9" s="8">
        <f>D9*E9</f>
        <v/>
      </c>
      <c r="I9" s="8">
        <f>D9*F9</f>
        <v/>
      </c>
    </row>
    <row r="10">
      <c r="A10" t="inlineStr">
        <is>
          <t>versioning/resizing/localization</t>
        </is>
      </c>
      <c r="B10" t="inlineStr">
        <is>
          <t>usage</t>
        </is>
      </c>
      <c r="C10" s="4" t="n">
        <v>4</v>
      </c>
      <c r="D10" s="9" t="n">
        <v>0.1005</v>
      </c>
      <c r="E10" s="9" t="n">
        <v>0.08890000000000001</v>
      </c>
      <c r="F10" s="9" t="n">
        <v>1</v>
      </c>
      <c r="G10" s="4" t="n">
        <v>0.0444</v>
      </c>
      <c r="H10" s="8">
        <f>D10*E10</f>
        <v/>
      </c>
      <c r="I10" s="8">
        <f>D10*F10</f>
        <v/>
      </c>
    </row>
    <row r="11">
      <c r="A11" t="inlineStr">
        <is>
          <t>brand compliance/review/approval</t>
        </is>
      </c>
      <c r="B11" t="inlineStr">
        <is>
          <t>enterprise platform</t>
        </is>
      </c>
      <c r="C11" s="4" t="n">
        <v>7</v>
      </c>
      <c r="D11" s="9" t="n">
        <v>0.1216</v>
      </c>
      <c r="E11" s="9" t="n">
        <v>0.5367</v>
      </c>
      <c r="F11" s="9" t="n">
        <v>0.966</v>
      </c>
      <c r="G11" s="4" t="n">
        <v>0.2683</v>
      </c>
      <c r="H11" s="8">
        <f>D11*E11</f>
        <v/>
      </c>
      <c r="I11" s="8">
        <f>D11*F11</f>
        <v/>
      </c>
    </row>
    <row r="12">
      <c r="A12" t="inlineStr">
        <is>
          <t>client/stakeholder communication</t>
        </is>
      </c>
      <c r="B12" t="inlineStr">
        <is>
          <t>none/competitor</t>
        </is>
      </c>
      <c r="C12" s="4" t="n">
        <v>6</v>
      </c>
      <c r="D12" s="9" t="n">
        <v>0.07829999999999999</v>
      </c>
      <c r="E12" s="9" t="n">
        <v>1</v>
      </c>
      <c r="F12" s="9" t="n">
        <v>0.8332000000000001</v>
      </c>
      <c r="G12" s="4" t="n">
        <v>0.5</v>
      </c>
      <c r="H12" s="8">
        <f>D12*E12</f>
        <v/>
      </c>
      <c r="I12" s="8">
        <f>D12*F12</f>
        <v/>
      </c>
    </row>
    <row r="13">
      <c r="A13" t="inlineStr">
        <is>
          <t>asset management/distribution</t>
        </is>
      </c>
      <c r="B13" t="inlineStr">
        <is>
          <t>enterprise platform</t>
        </is>
      </c>
      <c r="C13" s="4" t="n">
        <v>3</v>
      </c>
      <c r="D13" s="9" t="n">
        <v>0.0524</v>
      </c>
      <c r="E13" s="9" t="n">
        <v>1</v>
      </c>
      <c r="F13" s="9" t="n">
        <v>1</v>
      </c>
      <c r="G13" s="4" t="n">
        <v>0.5473</v>
      </c>
      <c r="H13" s="8">
        <f>D13*E13</f>
        <v/>
      </c>
      <c r="I13" s="8">
        <f>D13*F13</f>
        <v/>
      </c>
    </row>
    <row r="14">
      <c r="A14" t="inlineStr">
        <is>
          <t>other: management/admin/physical</t>
        </is>
      </c>
      <c r="B14" t="inlineStr">
        <is>
          <t>none/competitor</t>
        </is>
      </c>
      <c r="C14" s="4" t="n">
        <v>6</v>
      </c>
      <c r="D14" s="9" t="n">
        <v>0.0408</v>
      </c>
      <c r="E14" s="9" t="n">
        <v>0.34</v>
      </c>
      <c r="F14" s="9" t="n">
        <v>1</v>
      </c>
      <c r="G14" s="4" t="n">
        <v>0.2793</v>
      </c>
      <c r="H14" s="8">
        <f>D14*E14</f>
        <v/>
      </c>
      <c r="I14" s="8">
        <f>D14*F14</f>
        <v/>
      </c>
    </row>
    <row r="15"/>
    <row r="16">
      <c r="A16" s="1" t="inlineStr">
        <is>
          <t>Share of highly exposed task weight by monetization model (formulas)</t>
        </is>
      </c>
    </row>
    <row r="17">
      <c r="A17" s="3" t="inlineStr">
        <is>
          <t>monetization</t>
        </is>
      </c>
      <c r="B17" s="3" t="inlineStr">
        <is>
          <t>human-rated share</t>
        </is>
      </c>
      <c r="C17" s="3" t="inlineStr">
        <is>
          <t>GPT-4-rated share</t>
        </is>
      </c>
    </row>
    <row r="18">
      <c r="A18" t="inlineStr">
        <is>
          <t>seat</t>
        </is>
      </c>
      <c r="B18" s="8">
        <f>SUMIF($B$6:$B$14,A18,$H$6:$H$14)/SUM($H$6:$H$14)</f>
        <v/>
      </c>
      <c r="C18" s="8">
        <f>SUMIF($B$6:$B$14,A18,$I$6:$I$14)/SUM($I$6:$I$14)</f>
        <v/>
      </c>
    </row>
    <row r="19">
      <c r="A19" t="inlineStr">
        <is>
          <t>usage</t>
        </is>
      </c>
      <c r="B19" s="8">
        <f>SUMIF($B$6:$B$14,A19,$H$6:$H$14)/SUM($H$6:$H$14)</f>
        <v/>
      </c>
      <c r="C19" s="8">
        <f>SUMIF($B$6:$B$14,A19,$I$6:$I$14)/SUM($I$6:$I$14)</f>
        <v/>
      </c>
    </row>
    <row r="20">
      <c r="A20" t="inlineStr">
        <is>
          <t>enterprise platform</t>
        </is>
      </c>
      <c r="B20" s="8">
        <f>SUMIF($B$6:$B$14,A20,$H$6:$H$14)/SUM($H$6:$H$14)</f>
        <v/>
      </c>
      <c r="C20" s="8">
        <f>SUMIF($B$6:$B$14,A20,$I$6:$I$14)/SUM($I$6:$I$14)</f>
        <v/>
      </c>
    </row>
    <row r="21">
      <c r="A21" t="inlineStr">
        <is>
          <t>none/competitor</t>
        </is>
      </c>
      <c r="B21" s="8">
        <f>SUMIF($B$6:$B$14,A21,$H$6:$H$14)/SUM($H$6:$H$14)</f>
        <v/>
      </c>
      <c r="C21" s="8">
        <f>SUMIF($B$6:$B$14,A21,$I$6:$I$14)/SUM($I$6:$I$14)</f>
        <v/>
      </c>
    </row>
    <row r="22"/>
    <row r="23">
      <c r="A23" s="1" t="inlineStr">
        <is>
          <t>Scheme: All 6 occupations incl. 11-2021 and 13-1161</t>
        </is>
      </c>
    </row>
    <row r="24">
      <c r="A24" s="3" t="inlineStr">
        <is>
          <t>stage</t>
        </is>
      </c>
      <c r="B24" s="3" t="inlineStr">
        <is>
          <t>monetization</t>
        </is>
      </c>
      <c r="C24" s="3" t="inlineStr">
        <is>
          <t>n_tasks</t>
        </is>
      </c>
      <c r="D24" s="3" t="inlineStr">
        <is>
          <t>stage_weight_share</t>
        </is>
      </c>
      <c r="E24" s="3" t="inlineStr">
        <is>
          <t>share_highly_exposed_human</t>
        </is>
      </c>
      <c r="F24" s="3" t="inlineStr">
        <is>
          <t>share_highly_exposed_gpt4</t>
        </is>
      </c>
      <c r="G24" s="3" t="inlineStr">
        <is>
          <t>mean_beta_human</t>
        </is>
      </c>
      <c r="H24" s="3" t="inlineStr">
        <is>
          <t>exposed_weight_human (formula)</t>
        </is>
      </c>
      <c r="I24" s="3" t="inlineStr">
        <is>
          <t>exposed_weight_gpt4 (formula)</t>
        </is>
      </c>
    </row>
    <row r="25">
      <c r="A25" t="inlineStr">
        <is>
          <t>ideation/concepting</t>
        </is>
      </c>
      <c r="B25" t="inlineStr">
        <is>
          <t>seat</t>
        </is>
      </c>
      <c r="C25" s="4" t="n">
        <v>10</v>
      </c>
      <c r="D25" s="9" t="n">
        <v>0.0494</v>
      </c>
      <c r="E25" s="9" t="n">
        <v>1</v>
      </c>
      <c r="F25" s="9" t="n">
        <v>1</v>
      </c>
      <c r="G25" s="4" t="n">
        <v>0.5095</v>
      </c>
      <c r="H25" s="8">
        <f>D25*E25</f>
        <v/>
      </c>
      <c r="I25" s="8">
        <f>D25*F25</f>
        <v/>
      </c>
    </row>
    <row r="26">
      <c r="A26" t="inlineStr">
        <is>
          <t>asset generation</t>
        </is>
      </c>
      <c r="B26" t="inlineStr">
        <is>
          <t>seat</t>
        </is>
      </c>
      <c r="C26" s="4" t="n">
        <v>13</v>
      </c>
      <c r="D26" s="9" t="n">
        <v>0.05</v>
      </c>
      <c r="E26" s="9" t="n">
        <v>0.9813</v>
      </c>
      <c r="F26" s="9" t="n">
        <v>1</v>
      </c>
      <c r="G26" s="4" t="n">
        <v>0.4906</v>
      </c>
      <c r="H26" s="8">
        <f>D26*E26</f>
        <v/>
      </c>
      <c r="I26" s="8">
        <f>D26*F26</f>
        <v/>
      </c>
    </row>
    <row r="27">
      <c r="A27" t="inlineStr">
        <is>
          <t>editing/retouching/compositing</t>
        </is>
      </c>
      <c r="B27" t="inlineStr">
        <is>
          <t>seat</t>
        </is>
      </c>
      <c r="C27" s="4" t="n">
        <v>16</v>
      </c>
      <c r="D27" s="9" t="n">
        <v>0.0152</v>
      </c>
      <c r="E27" s="9" t="n">
        <v>0.8764999999999999</v>
      </c>
      <c r="F27" s="9" t="n">
        <v>1</v>
      </c>
      <c r="G27" s="4" t="n">
        <v>0.5309</v>
      </c>
      <c r="H27" s="8">
        <f>D27*E27</f>
        <v/>
      </c>
      <c r="I27" s="8">
        <f>D27*F27</f>
        <v/>
      </c>
    </row>
    <row r="28">
      <c r="A28" t="inlineStr">
        <is>
          <t>layout/design</t>
        </is>
      </c>
      <c r="B28" t="inlineStr">
        <is>
          <t>seat</t>
        </is>
      </c>
      <c r="C28" s="4" t="n">
        <v>4</v>
      </c>
      <c r="D28" s="9" t="n">
        <v>0.0228</v>
      </c>
      <c r="E28" s="9" t="n">
        <v>0.5691000000000001</v>
      </c>
      <c r="F28" s="9" t="n">
        <v>1</v>
      </c>
      <c r="G28" s="4" t="n">
        <v>0.2845</v>
      </c>
      <c r="H28" s="8">
        <f>D28*E28</f>
        <v/>
      </c>
      <c r="I28" s="8">
        <f>D28*F28</f>
        <v/>
      </c>
    </row>
    <row r="29">
      <c r="A29" t="inlineStr">
        <is>
          <t>versioning/resizing/localization</t>
        </is>
      </c>
      <c r="B29" t="inlineStr">
        <is>
          <t>usage</t>
        </is>
      </c>
      <c r="C29" s="4" t="n">
        <v>4</v>
      </c>
      <c r="D29" s="9" t="n">
        <v>0.0228</v>
      </c>
      <c r="E29" s="9" t="n">
        <v>0.08890000000000001</v>
      </c>
      <c r="F29" s="9" t="n">
        <v>1</v>
      </c>
      <c r="G29" s="4" t="n">
        <v>0.0444</v>
      </c>
      <c r="H29" s="8">
        <f>D29*E29</f>
        <v/>
      </c>
      <c r="I29" s="8">
        <f>D29*F29</f>
        <v/>
      </c>
    </row>
    <row r="30">
      <c r="A30" t="inlineStr">
        <is>
          <t>brand compliance/review/approval</t>
        </is>
      </c>
      <c r="B30" t="inlineStr">
        <is>
          <t>enterprise platform</t>
        </is>
      </c>
      <c r="C30" s="4" t="n">
        <v>7</v>
      </c>
      <c r="D30" s="9" t="n">
        <v>0.0275</v>
      </c>
      <c r="E30" s="9" t="n">
        <v>0.5367</v>
      </c>
      <c r="F30" s="9" t="n">
        <v>0.966</v>
      </c>
      <c r="G30" s="4" t="n">
        <v>0.2683</v>
      </c>
      <c r="H30" s="8">
        <f>D30*E30</f>
        <v/>
      </c>
      <c r="I30" s="8">
        <f>D30*F30</f>
        <v/>
      </c>
    </row>
    <row r="31">
      <c r="A31" t="inlineStr">
        <is>
          <t>client/stakeholder communication</t>
        </is>
      </c>
      <c r="B31" t="inlineStr">
        <is>
          <t>none/competitor</t>
        </is>
      </c>
      <c r="C31" s="4" t="n">
        <v>6</v>
      </c>
      <c r="D31" s="9" t="n">
        <v>0.0177</v>
      </c>
      <c r="E31" s="9" t="n">
        <v>1</v>
      </c>
      <c r="F31" s="9" t="n">
        <v>0.8332000000000001</v>
      </c>
      <c r="G31" s="4" t="n">
        <v>0.5</v>
      </c>
      <c r="H31" s="8">
        <f>D31*E31</f>
        <v/>
      </c>
      <c r="I31" s="8">
        <f>D31*F31</f>
        <v/>
      </c>
    </row>
    <row r="32">
      <c r="A32" t="inlineStr">
        <is>
          <t>asset management/distribution</t>
        </is>
      </c>
      <c r="B32" t="inlineStr">
        <is>
          <t>enterprise platform</t>
        </is>
      </c>
      <c r="C32" s="4" t="n">
        <v>3</v>
      </c>
      <c r="D32" s="9" t="n">
        <v>0.0119</v>
      </c>
      <c r="E32" s="9" t="n">
        <v>1</v>
      </c>
      <c r="F32" s="9" t="n">
        <v>1</v>
      </c>
      <c r="G32" s="4" t="n">
        <v>0.5473</v>
      </c>
      <c r="H32" s="8">
        <f>D32*E32</f>
        <v/>
      </c>
      <c r="I32" s="8">
        <f>D32*F32</f>
        <v/>
      </c>
    </row>
    <row r="33">
      <c r="A33" t="inlineStr">
        <is>
          <t>other: marketing analytics &amp; insight</t>
        </is>
      </c>
      <c r="B33" t="inlineStr">
        <is>
          <t>enterprise platform</t>
        </is>
      </c>
      <c r="C33" s="4" t="n">
        <v>16</v>
      </c>
      <c r="D33" s="9" t="n">
        <v>0.5914</v>
      </c>
      <c r="E33" s="9" t="n">
        <v>0.9273</v>
      </c>
      <c r="F33" s="9" t="n">
        <v>1</v>
      </c>
      <c r="G33" s="4" t="n">
        <v>0.5727</v>
      </c>
      <c r="H33" s="8">
        <f>D33*E33</f>
        <v/>
      </c>
      <c r="I33" s="8">
        <f>D33*F33</f>
        <v/>
      </c>
    </row>
    <row r="34">
      <c r="A34" t="inlineStr">
        <is>
          <t>other: marketing strategy &amp; planning</t>
        </is>
      </c>
      <c r="B34" t="inlineStr">
        <is>
          <t>none/competitor</t>
        </is>
      </c>
      <c r="C34" s="4" t="n">
        <v>13</v>
      </c>
      <c r="D34" s="9" t="n">
        <v>0.1393</v>
      </c>
      <c r="E34" s="9" t="n">
        <v>1</v>
      </c>
      <c r="F34" s="9" t="n">
        <v>1</v>
      </c>
      <c r="G34" s="4" t="n">
        <v>0.6538</v>
      </c>
      <c r="H34" s="8">
        <f>D34*E34</f>
        <v/>
      </c>
      <c r="I34" s="8">
        <f>D34*F34</f>
        <v/>
      </c>
    </row>
    <row r="35">
      <c r="A35" t="inlineStr">
        <is>
          <t>other: management/admin/physical</t>
        </is>
      </c>
      <c r="B35" t="inlineStr">
        <is>
          <t>none/competitor</t>
        </is>
      </c>
      <c r="C35" s="4" t="n">
        <v>10</v>
      </c>
      <c r="D35" s="9" t="n">
        <v>0.0521</v>
      </c>
      <c r="E35" s="9" t="n">
        <v>0.6772</v>
      </c>
      <c r="F35" s="9" t="n">
        <v>0.7944</v>
      </c>
      <c r="G35" s="4" t="n">
        <v>0.4608</v>
      </c>
      <c r="H35" s="8">
        <f>D35*E35</f>
        <v/>
      </c>
      <c r="I35" s="8">
        <f>D35*F35</f>
        <v/>
      </c>
    </row>
    <row r="36"/>
    <row r="37">
      <c r="A37" s="1" t="inlineStr">
        <is>
          <t>Share of highly exposed task weight by monetization model (formulas)</t>
        </is>
      </c>
    </row>
    <row r="38">
      <c r="A38" s="3" t="inlineStr">
        <is>
          <t>monetization</t>
        </is>
      </c>
      <c r="B38" s="3" t="inlineStr">
        <is>
          <t>human-rated share</t>
        </is>
      </c>
      <c r="C38" s="3" t="inlineStr">
        <is>
          <t>GPT-4-rated share</t>
        </is>
      </c>
    </row>
    <row r="39">
      <c r="A39" t="inlineStr">
        <is>
          <t>seat</t>
        </is>
      </c>
      <c r="B39" s="8">
        <f>SUMIF($B$25:$B$35,A39,$H$25:$H$35)/SUM($H$25:$H$35)</f>
        <v/>
      </c>
      <c r="C39" s="8">
        <f>SUMIF($B$25:$B$35,A39,$I$25:$I$35)/SUM($I$25:$I$35)</f>
        <v/>
      </c>
    </row>
    <row r="40">
      <c r="A40" t="inlineStr">
        <is>
          <t>usage</t>
        </is>
      </c>
      <c r="B40" s="8">
        <f>SUMIF($B$25:$B$35,A40,$H$25:$H$35)/SUM($H$25:$H$35)</f>
        <v/>
      </c>
      <c r="C40" s="8">
        <f>SUMIF($B$25:$B$35,A40,$I$25:$I$35)/SUM($I$25:$I$35)</f>
        <v/>
      </c>
    </row>
    <row r="41">
      <c r="A41" t="inlineStr">
        <is>
          <t>enterprise platform</t>
        </is>
      </c>
      <c r="B41" s="8">
        <f>SUMIF($B$25:$B$35,A41,$H$25:$H$35)/SUM($H$25:$H$35)</f>
        <v/>
      </c>
      <c r="C41" s="8">
        <f>SUMIF($B$25:$B$35,A41,$I$25:$I$35)/SUM($I$25:$I$35)</f>
        <v/>
      </c>
    </row>
    <row r="42">
      <c r="A42" t="inlineStr">
        <is>
          <t>none/competitor</t>
        </is>
      </c>
      <c r="B42" s="8">
        <f>SUMIF($B$25:$B$35,A42,$H$25:$H$35)/SUM($H$25:$H$35)</f>
        <v/>
      </c>
      <c r="C42" s="8">
        <f>SUMIF($B$25:$B$35,A42,$I$25:$I$35)/SUM($I$25:$I$35)</f>
        <v/>
      </c>
    </row>
    <row r="43"/>
    <row r="44">
      <c r="A44" s="1" t="inlineStr">
        <is>
          <t>Occupation-level exposure scores (Eloundou human/GPT-4 alpha-beta-gamma with percentiles; AIOE overall / image generation / language modeling)</t>
        </is>
      </c>
    </row>
    <row r="45">
      <c r="A45" s="3" t="inlineStr">
        <is>
          <t>onet_soc</t>
        </is>
      </c>
      <c r="B45" s="3" t="inlineStr">
        <is>
          <t>title</t>
        </is>
      </c>
      <c r="C45" s="3" t="inlineStr">
        <is>
          <t>dv_rating_alpha</t>
        </is>
      </c>
      <c r="D45" s="3" t="inlineStr">
        <is>
          <t>dv_rating_alpha_pctile</t>
        </is>
      </c>
      <c r="E45" s="3" t="inlineStr">
        <is>
          <t>dv_rating_beta</t>
        </is>
      </c>
      <c r="F45" s="3" t="inlineStr">
        <is>
          <t>dv_rating_beta_pctile</t>
        </is>
      </c>
      <c r="G45" s="3" t="inlineStr">
        <is>
          <t>dv_rating_gamma</t>
        </is>
      </c>
      <c r="H45" s="3" t="inlineStr">
        <is>
          <t>dv_rating_gamma_pctile</t>
        </is>
      </c>
      <c r="I45" s="3" t="inlineStr">
        <is>
          <t>human_rating_alpha</t>
        </is>
      </c>
      <c r="J45" s="3" t="inlineStr">
        <is>
          <t>human_rating_alpha_pctile</t>
        </is>
      </c>
      <c r="K45" s="3" t="inlineStr">
        <is>
          <t>human_rating_beta</t>
        </is>
      </c>
      <c r="L45" s="3" t="inlineStr">
        <is>
          <t>human_rating_beta_pctile</t>
        </is>
      </c>
      <c r="M45" s="3" t="inlineStr">
        <is>
          <t>human_rating_gamma</t>
        </is>
      </c>
      <c r="N45" s="3" t="inlineStr">
        <is>
          <t>human_rating_gamma_pctile</t>
        </is>
      </c>
      <c r="O45" s="3" t="inlineStr">
        <is>
          <t>AIOE</t>
        </is>
      </c>
      <c r="P45" s="3" t="inlineStr">
        <is>
          <t>AIOE_pctile</t>
        </is>
      </c>
      <c r="Q45" s="3" t="inlineStr">
        <is>
          <t>AIOE_image_generation</t>
        </is>
      </c>
      <c r="R45" s="3" t="inlineStr">
        <is>
          <t>AIOE_image_generation_pctile</t>
        </is>
      </c>
      <c r="S45" s="3" t="inlineStr">
        <is>
          <t>AIOE_language_modeling</t>
        </is>
      </c>
      <c r="T45" s="3" t="inlineStr">
        <is>
          <t>AIOE_language_modeling_pctile</t>
        </is>
      </c>
      <c r="U45" s="3" t="inlineStr">
        <is>
          <t>eloundou_source</t>
        </is>
      </c>
      <c r="V45" s="3" t="inlineStr">
        <is>
          <t>aioe_source</t>
        </is>
      </c>
    </row>
    <row r="46">
      <c r="A46" t="inlineStr">
        <is>
          <t>11-2021.00</t>
        </is>
      </c>
      <c r="B46" t="inlineStr">
        <is>
          <t>Marketing Managers</t>
        </is>
      </c>
      <c r="C46" s="4" t="n">
        <v>0.062</v>
      </c>
      <c r="D46" s="4" t="n">
        <v>33.532</v>
      </c>
      <c r="E46" s="4" t="n">
        <v>0.5</v>
      </c>
      <c r="F46" s="4" t="n">
        <v>75.027</v>
      </c>
      <c r="G46" s="4" t="n">
        <v>0.9379999999999999</v>
      </c>
      <c r="H46" s="4" t="n">
        <v>84.074</v>
      </c>
      <c r="I46" s="4" t="n">
        <v>0.219</v>
      </c>
      <c r="J46" s="4" t="n">
        <v>71.93899999999999</v>
      </c>
      <c r="K46" s="4" t="n">
        <v>0.578</v>
      </c>
      <c r="L46" s="4" t="n">
        <v>89.816</v>
      </c>
      <c r="M46" s="4" t="n">
        <v>0.9379999999999999</v>
      </c>
      <c r="N46" s="4" t="n">
        <v>96.04600000000001</v>
      </c>
      <c r="O46" s="4" t="n">
        <v>1.315</v>
      </c>
      <c r="P46" s="4" t="n">
        <v>89.018</v>
      </c>
      <c r="Q46" s="4" t="n">
        <v>1.61</v>
      </c>
      <c r="R46" s="4" t="n">
        <v>95.349</v>
      </c>
      <c r="S46" s="4" t="n">
        <v>1.204</v>
      </c>
      <c r="T46" s="4" t="n">
        <v>83.333</v>
      </c>
      <c r="U46" t="inlineStr">
        <is>
          <t>openai/GPTs-are-GPTs data/occ_level.csv (commit 2025-10-03/04); percentile among 923 O*NET-SOC occupations</t>
        </is>
      </c>
      <c r="V46" t="inlineStr">
        <is>
          <t>AIOE-Data/AIOE (last commit 2024-06-03; AIOE 2021 SMJ; IG/LM extensions added 2023); percentile among 774 SOC occupations</t>
        </is>
      </c>
    </row>
    <row r="47">
      <c r="A47" t="inlineStr">
        <is>
          <t>13-1161.00</t>
        </is>
      </c>
      <c r="B47" t="inlineStr">
        <is>
          <t>Market Research Analysts and Marketing Specialists</t>
        </is>
      </c>
      <c r="C47" s="4" t="n">
        <v>0</v>
      </c>
      <c r="D47" s="4" t="n">
        <v>10.022</v>
      </c>
      <c r="E47" s="4" t="n">
        <v>0.5</v>
      </c>
      <c r="F47" s="4" t="n">
        <v>75.027</v>
      </c>
      <c r="G47" s="4" t="n">
        <v>1</v>
      </c>
      <c r="H47" s="4" t="n">
        <v>95.395</v>
      </c>
      <c r="I47" s="4" t="n">
        <v>0.231</v>
      </c>
      <c r="J47" s="4" t="n">
        <v>74.215</v>
      </c>
      <c r="K47" s="4" t="n">
        <v>0.577</v>
      </c>
      <c r="L47" s="4" t="n">
        <v>89.65300000000001</v>
      </c>
      <c r="M47" s="4" t="n">
        <v>0.923</v>
      </c>
      <c r="N47" s="4" t="n">
        <v>94.8</v>
      </c>
      <c r="O47" s="4" t="n">
        <v>1.427</v>
      </c>
      <c r="P47" s="4" t="n">
        <v>97.416</v>
      </c>
      <c r="Q47" s="4" t="n">
        <v>1.396</v>
      </c>
      <c r="R47" s="4" t="n">
        <v>92.119</v>
      </c>
      <c r="S47" s="4" t="n">
        <v>1.356</v>
      </c>
      <c r="T47" s="4" t="n">
        <v>90.43899999999999</v>
      </c>
      <c r="U47" t="inlineStr">
        <is>
          <t>openai/GPTs-are-GPTs data/occ_level.csv (commit 2025-10-03/04); percentile among 923 O*NET-SOC occupations</t>
        </is>
      </c>
      <c r="V47" t="inlineStr">
        <is>
          <t>AIOE-Data/AIOE (last commit 2024-06-03; AIOE 2021 SMJ; IG/LM extensions added 2023); percentile among 774 SOC occupations</t>
        </is>
      </c>
    </row>
    <row r="48">
      <c r="A48" t="inlineStr">
        <is>
          <t>27-1011.00</t>
        </is>
      </c>
      <c r="B48" t="inlineStr">
        <is>
          <t>Art Directors</t>
        </is>
      </c>
      <c r="C48" s="4" t="n">
        <v>0.06900000000000001</v>
      </c>
      <c r="D48" s="4" t="n">
        <v>36.728</v>
      </c>
      <c r="E48" s="4" t="n">
        <v>0.5</v>
      </c>
      <c r="F48" s="4" t="n">
        <v>75.027</v>
      </c>
      <c r="G48" s="4" t="n">
        <v>0.931</v>
      </c>
      <c r="H48" s="4" t="n">
        <v>83.42400000000001</v>
      </c>
      <c r="I48" s="4" t="n">
        <v>0.06900000000000001</v>
      </c>
      <c r="J48" s="4" t="n">
        <v>39.166</v>
      </c>
      <c r="K48" s="4" t="n">
        <v>0.431</v>
      </c>
      <c r="L48" s="4" t="n">
        <v>69.502</v>
      </c>
      <c r="M48" s="4" t="n">
        <v>0.793</v>
      </c>
      <c r="N48" s="4" t="n">
        <v>83.044</v>
      </c>
      <c r="O48" s="4" t="n">
        <v>1.023</v>
      </c>
      <c r="P48" s="4" t="n">
        <v>75.32299999999999</v>
      </c>
      <c r="Q48" s="4" t="n">
        <v>2.249</v>
      </c>
      <c r="R48" s="4" t="n">
        <v>99.61199999999999</v>
      </c>
      <c r="S48" s="4" t="n">
        <v>0.727</v>
      </c>
      <c r="T48" s="4" t="n">
        <v>69.509</v>
      </c>
      <c r="U48" t="inlineStr">
        <is>
          <t>openai/GPTs-are-GPTs data/occ_level.csv (commit 2025-10-03/04); percentile among 923 O*NET-SOC occupations</t>
        </is>
      </c>
      <c r="V48" t="inlineStr">
        <is>
          <t>AIOE-Data/AIOE (last commit 2024-06-03; AIOE 2021 SMJ; IG/LM extensions added 2023); percentile among 774 SOC occupations</t>
        </is>
      </c>
    </row>
    <row r="49">
      <c r="A49" t="inlineStr">
        <is>
          <t>27-1014.00</t>
        </is>
      </c>
      <c r="B49" t="inlineStr">
        <is>
          <t>Special Effects Artists and Animators</t>
        </is>
      </c>
      <c r="C49" s="4" t="n">
        <v>0.05</v>
      </c>
      <c r="D49" s="4" t="n">
        <v>28.277</v>
      </c>
      <c r="E49" s="4" t="n">
        <v>0.525</v>
      </c>
      <c r="F49" s="4" t="n">
        <v>80.336</v>
      </c>
      <c r="G49" s="4" t="n">
        <v>1</v>
      </c>
      <c r="H49" s="4" t="n">
        <v>95.395</v>
      </c>
      <c r="I49" s="4" t="n">
        <v>0.05</v>
      </c>
      <c r="J49" s="4" t="n">
        <v>34.886</v>
      </c>
      <c r="K49" s="4" t="n">
        <v>0.475</v>
      </c>
      <c r="L49" s="4" t="n">
        <v>75.515</v>
      </c>
      <c r="M49" s="4" t="n">
        <v>0.9</v>
      </c>
      <c r="N49" s="4" t="n">
        <v>93.337</v>
      </c>
      <c r="O49" s="4" t="n">
        <v>0.706</v>
      </c>
      <c r="P49" s="4" t="n">
        <v>66.53700000000001</v>
      </c>
      <c r="Q49" s="4" t="n">
        <v>1.845</v>
      </c>
      <c r="R49" s="4" t="n">
        <v>97.804</v>
      </c>
      <c r="S49" s="4" t="n">
        <v>0.432</v>
      </c>
      <c r="T49" s="4" t="n">
        <v>61.757</v>
      </c>
      <c r="U49" t="inlineStr">
        <is>
          <t>openai/GPTs-are-GPTs data/occ_level.csv (commit 2025-10-03/04); percentile among 923 O*NET-SOC occupations</t>
        </is>
      </c>
      <c r="V49" t="inlineStr">
        <is>
          <t>AIOE-Data/AIOE (last commit 2024-06-03; AIOE 2021 SMJ; IG/LM extensions added 2023); percentile among 774 SOC occupations</t>
        </is>
      </c>
    </row>
    <row r="50">
      <c r="A50" t="inlineStr">
        <is>
          <t>27-1024.00</t>
        </is>
      </c>
      <c r="B50" t="inlineStr">
        <is>
          <t>Graphic Designers</t>
        </is>
      </c>
      <c r="C50" s="4" t="n">
        <v>0</v>
      </c>
      <c r="D50" s="4" t="n">
        <v>10.022</v>
      </c>
      <c r="E50" s="4" t="n">
        <v>0.5</v>
      </c>
      <c r="F50" s="4" t="n">
        <v>75.027</v>
      </c>
      <c r="G50" s="4" t="n">
        <v>1</v>
      </c>
      <c r="H50" s="4" t="n">
        <v>95.395</v>
      </c>
      <c r="I50" s="4" t="n">
        <v>0</v>
      </c>
      <c r="J50" s="4" t="n">
        <v>14.68</v>
      </c>
      <c r="K50" s="4" t="n">
        <v>0.411</v>
      </c>
      <c r="L50" s="4" t="n">
        <v>66.57599999999999</v>
      </c>
      <c r="M50" s="4" t="n">
        <v>0.821</v>
      </c>
      <c r="N50" s="4" t="n">
        <v>85.97</v>
      </c>
      <c r="O50" s="4" t="n">
        <v>0.716</v>
      </c>
      <c r="P50" s="4" t="n">
        <v>67.054</v>
      </c>
      <c r="Q50" s="4" t="n">
        <v>1.917</v>
      </c>
      <c r="R50" s="4" t="n">
        <v>98.708</v>
      </c>
      <c r="S50" s="4" t="n">
        <v>0.527</v>
      </c>
      <c r="T50" s="4" t="n">
        <v>63.566</v>
      </c>
      <c r="U50" t="inlineStr">
        <is>
          <t>openai/GPTs-are-GPTs data/occ_level.csv (commit 2025-10-03/04); percentile among 923 O*NET-SOC occupations</t>
        </is>
      </c>
      <c r="V50" t="inlineStr">
        <is>
          <t>AIOE-Data/AIOE (last commit 2024-06-03; AIOE 2021 SMJ; IG/LM extensions added 2023); percentile among 774 SOC occupations</t>
        </is>
      </c>
    </row>
    <row r="51">
      <c r="A51" t="inlineStr">
        <is>
          <t>27-4032.00</t>
        </is>
      </c>
      <c r="B51" t="inlineStr">
        <is>
          <t>Film and Video Editors</t>
        </is>
      </c>
      <c r="C51" s="4" t="n">
        <v>0.111</v>
      </c>
      <c r="D51" s="4" t="n">
        <v>55.471</v>
      </c>
      <c r="E51" s="4" t="n">
        <v>0.528</v>
      </c>
      <c r="F51" s="4" t="n">
        <v>81.148</v>
      </c>
      <c r="G51" s="4" t="n">
        <v>0.944</v>
      </c>
      <c r="H51" s="4" t="n">
        <v>85.10299999999999</v>
      </c>
      <c r="I51" s="4" t="n">
        <v>0.139</v>
      </c>
      <c r="J51" s="4" t="n">
        <v>54.713</v>
      </c>
      <c r="K51" s="4" t="n">
        <v>0.472</v>
      </c>
      <c r="L51" s="4" t="n">
        <v>74.973</v>
      </c>
      <c r="M51" s="4" t="n">
        <v>0.806</v>
      </c>
      <c r="N51" s="4" t="n">
        <v>84.182</v>
      </c>
      <c r="O51" s="4" t="n">
        <v>0.986</v>
      </c>
      <c r="P51" s="4" t="n">
        <v>73.902</v>
      </c>
      <c r="Q51" s="4" t="n">
        <v>1.97</v>
      </c>
      <c r="R51" s="4" t="n">
        <v>98.837</v>
      </c>
      <c r="S51" s="4" t="n">
        <v>0.657</v>
      </c>
      <c r="T51" s="4" t="n">
        <v>67.7</v>
      </c>
      <c r="U51" t="inlineStr">
        <is>
          <t>openai/GPTs-are-GPTs data/occ_level.csv (commit 2025-10-03/04); percentile among 923 O*NET-SOC occupations</t>
        </is>
      </c>
      <c r="V51" t="inlineStr">
        <is>
          <t>AIOE-Data/AIOE (last commit 2024-06-03; AIOE 2021 SMJ; IG/LM extensions added 2023); percentile among 774 SOC occupations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selection activeCell="A1" sqref="A1"/>
    </sheetView>
  </sheetViews>
  <sheetFormatPr baseColWidth="8" defaultRowHeight="15"/>
  <cols>
    <col width="45" customWidth="1" min="1" max="1"/>
    <col width="24" customWidth="1" min="2" max="2"/>
    <col width="13" customWidth="1" min="3" max="3"/>
    <col width="17" customWidth="1" min="4" max="4"/>
    <col width="17" customWidth="1" min="5" max="5"/>
    <col width="19" customWidth="1" min="6" max="6"/>
    <col width="19" customWidth="1" min="7" max="7"/>
    <col width="22" customWidth="1" min="8" max="8"/>
    <col width="26" customWidth="1" min="9" max="9"/>
    <col width="45" customWidth="1" min="10" max="10"/>
    <col width="23" customWidth="1" min="11" max="11"/>
    <col width="22" customWidth="1" min="12" max="12"/>
    <col width="45" customWidth="1" min="13" max="13"/>
    <col width="22" customWidth="1" min="14" max="14"/>
    <col width="13" customWidth="1" min="15" max="15"/>
    <col width="15" customWidth="1" min="16" max="16"/>
    <col width="16" customWidth="1" min="17" max="17"/>
    <col width="19" customWidth="1" min="18" max="18"/>
    <col width="16" customWidth="1" min="19" max="19"/>
    <col width="45" customWidth="1" min="20" max="20"/>
    <col width="45" customWidth="1" min="21" max="21"/>
  </cols>
  <sheetData>
    <row r="1">
      <c r="A1" s="1" t="inlineStr">
        <is>
          <t>WS4: earnings-call analyst-question analysis and forward P/E (blue = counted/sourced input; black = formula)</t>
        </is>
      </c>
    </row>
    <row r="2">
      <c r="A2" s="2" t="inlineStr">
        <is>
          <t>13 of 15 calls from full transcripts (GitHub mirrors); FY25 Q2 and FY26 Q3 reconstructed from search snippets (partial coverage, LOW confidence). Topic labels hand-reviewed (72% agreement with keyword rules).</t>
        </is>
      </c>
    </row>
    <row r="3"/>
    <row r="4">
      <c r="A4" s="1" t="inlineStr">
        <is>
          <t>A. Analyst question counts by topic, fear index (formula) and forward P/E (formula)</t>
        </is>
      </c>
    </row>
    <row r="5">
      <c r="A5" s="3" t="inlineStr">
        <is>
          <t>call</t>
        </is>
      </c>
      <c r="B5" s="3" t="inlineStr">
        <is>
          <t>call_date</t>
        </is>
      </c>
      <c r="C5" s="3" t="inlineStr">
        <is>
          <t>n_questions</t>
        </is>
      </c>
      <c r="D5" s="3" t="inlineStr">
        <is>
          <t>n_ai_disruption</t>
        </is>
      </c>
      <c r="E5" s="3" t="inlineStr">
        <is>
          <t>n_seats_pricing</t>
        </is>
      </c>
      <c r="F5" s="3" t="inlineStr">
        <is>
          <t>n_ai_monetization</t>
        </is>
      </c>
      <c r="G5" s="3" t="inlineStr">
        <is>
          <t>n_dx</t>
        </is>
      </c>
      <c r="H5" s="3" t="inlineStr">
        <is>
          <t>n_margins</t>
        </is>
      </c>
      <c r="I5" s="3" t="inlineStr">
        <is>
          <t>n_leadership</t>
        </is>
      </c>
      <c r="J5" s="3" t="inlineStr">
        <is>
          <t>n_macro_other</t>
        </is>
      </c>
      <c r="K5" s="3" t="inlineStr">
        <is>
          <t>fear_index_strict (f)</t>
        </is>
      </c>
      <c r="L5" s="3" t="inlineStr">
        <is>
          <t>fear_index_broad_src</t>
        </is>
      </c>
      <c r="M5" s="3" t="inlineStr">
        <is>
          <t>coverage</t>
        </is>
      </c>
      <c r="N5" s="3" t="inlineStr">
        <is>
          <t>price_next_day_close</t>
        </is>
      </c>
      <c r="O5" s="3" t="inlineStr">
        <is>
          <t>guidance_fy</t>
        </is>
      </c>
      <c r="P5" s="3" t="inlineStr">
        <is>
          <t>guide_eps_low</t>
        </is>
      </c>
      <c r="Q5" s="3" t="inlineStr">
        <is>
          <t>guide_eps_high</t>
        </is>
      </c>
      <c r="R5" s="3" t="inlineStr">
        <is>
          <t>guide_eps_mid (f)</t>
        </is>
      </c>
      <c r="S5" s="3" t="inlineStr">
        <is>
          <t>forward_pe (f)</t>
        </is>
      </c>
      <c r="T5" s="3" t="inlineStr">
        <is>
          <t>guidance_basis</t>
        </is>
      </c>
      <c r="U5" s="3" t="inlineStr">
        <is>
          <t>guidance_url</t>
        </is>
      </c>
    </row>
    <row r="6">
      <c r="A6" t="inlineStr">
        <is>
          <t>FY23_Q1</t>
        </is>
      </c>
      <c r="B6" t="inlineStr">
        <is>
          <t>2023-03-15</t>
        </is>
      </c>
      <c r="C6" s="4" t="n">
        <v>10</v>
      </c>
      <c r="D6" s="4" t="n">
        <v>1</v>
      </c>
      <c r="E6" s="4" t="n">
        <v>2</v>
      </c>
      <c r="F6" s="4" t="n">
        <v>1</v>
      </c>
      <c r="G6" s="4" t="n">
        <v>2</v>
      </c>
      <c r="H6" s="4" t="n">
        <v>0</v>
      </c>
      <c r="I6" s="4" t="n">
        <v>0</v>
      </c>
      <c r="J6" s="4" t="n">
        <v>4</v>
      </c>
      <c r="K6" s="6">
        <f>(D6+E6)/C6</f>
        <v/>
      </c>
      <c r="L6" s="4" t="n">
        <v>0.5</v>
      </c>
      <c r="M6" t="inlineStr">
        <is>
          <t>full transcript</t>
        </is>
      </c>
      <c r="N6" s="4" t="n">
        <v>353.29</v>
      </c>
      <c r="O6" t="inlineStr">
        <is>
          <t>FY23</t>
        </is>
      </c>
      <c r="P6" s="4" t="n">
        <v>15.3</v>
      </c>
      <c r="Q6" s="4" t="n">
        <v>15.6</v>
      </c>
      <c r="R6" s="12">
        <f>AVERAGE(P6:Q6)</f>
        <v/>
      </c>
      <c r="S6" s="7">
        <f>N6/R6</f>
        <v/>
      </c>
      <c r="T6" t="inlineStr">
        <is>
          <t>transcript (CFO prepared remarks)</t>
        </is>
      </c>
      <c r="U6" t="inlineStr">
        <is>
          <t>https://www.sec.gov/Archives/edgar/data/796343/000079634323000044/adbeex991q123.htm</t>
        </is>
      </c>
    </row>
    <row r="7">
      <c r="A7" t="inlineStr">
        <is>
          <t>FY23_Q2</t>
        </is>
      </c>
      <c r="B7" t="inlineStr">
        <is>
          <t>2023-06-15</t>
        </is>
      </c>
      <c r="C7" s="4" t="n">
        <v>10</v>
      </c>
      <c r="D7" s="4" t="n">
        <v>1</v>
      </c>
      <c r="E7" s="4" t="n">
        <v>0</v>
      </c>
      <c r="F7" s="4" t="n">
        <v>4</v>
      </c>
      <c r="G7" s="4" t="n">
        <v>1</v>
      </c>
      <c r="H7" s="4" t="n">
        <v>1</v>
      </c>
      <c r="I7" s="4" t="n">
        <v>0</v>
      </c>
      <c r="J7" s="4" t="n">
        <v>3</v>
      </c>
      <c r="K7" s="6">
        <f>(D7+E7)/C7</f>
        <v/>
      </c>
      <c r="L7" s="4" t="n">
        <v>0.1</v>
      </c>
      <c r="M7" t="inlineStr">
        <is>
          <t>full transcript</t>
        </is>
      </c>
      <c r="N7" s="4" t="n">
        <v>495.18</v>
      </c>
      <c r="O7" t="inlineStr">
        <is>
          <t>FY23</t>
        </is>
      </c>
      <c r="P7" s="4" t="n">
        <v>15.65</v>
      </c>
      <c r="Q7" s="4" t="n">
        <v>15.75</v>
      </c>
      <c r="R7" s="12">
        <f>AVERAGE(P7:Q7)</f>
        <v/>
      </c>
      <c r="S7" s="7">
        <f>N7/R7</f>
        <v/>
      </c>
      <c r="T7" t="inlineStr">
        <is>
          <t>transcript (CFO prepared remarks)</t>
        </is>
      </c>
      <c r="U7" t="inlineStr">
        <is>
          <t>https://www.sec.gov/Archives/edgar/data/796343/000079634323000133/adbeex991q223.htm</t>
        </is>
      </c>
    </row>
    <row r="8">
      <c r="A8" t="inlineStr">
        <is>
          <t>FY23_Q3</t>
        </is>
      </c>
      <c r="B8" t="inlineStr">
        <is>
          <t>2023-09-14</t>
        </is>
      </c>
      <c r="C8" s="4" t="n">
        <v>11</v>
      </c>
      <c r="D8" s="4" t="n">
        <v>0</v>
      </c>
      <c r="E8" s="4" t="n">
        <v>1</v>
      </c>
      <c r="F8" s="4" t="n">
        <v>5</v>
      </c>
      <c r="G8" s="4" t="n">
        <v>1</v>
      </c>
      <c r="H8" s="4" t="n">
        <v>1</v>
      </c>
      <c r="I8" s="4" t="n">
        <v>0</v>
      </c>
      <c r="J8" s="4" t="n">
        <v>3</v>
      </c>
      <c r="K8" s="6">
        <f>(D8+E8)/C8</f>
        <v/>
      </c>
      <c r="L8" s="4" t="n">
        <v>0.091</v>
      </c>
      <c r="M8" t="inlineStr">
        <is>
          <t>full transcript</t>
        </is>
      </c>
      <c r="N8" s="4" t="n">
        <v>528.89</v>
      </c>
      <c r="O8" t="inlineStr">
        <is>
          <t>FY23</t>
        </is>
      </c>
      <c r="P8" s="4" t="n">
        <v>15.9</v>
      </c>
      <c r="Q8" s="4" t="n">
        <v>15.95</v>
      </c>
      <c r="R8" s="12">
        <f>AVERAGE(P8:Q8)</f>
        <v/>
      </c>
      <c r="S8" s="7">
        <f>N8/R8</f>
        <v/>
      </c>
      <c r="T8" t="inlineStr">
        <is>
          <t>implied: 9M actual non-GAAP EPS 11.80 (3.80+3.91+4.09) + Q4 target 4.10-4.15 from transcript</t>
        </is>
      </c>
      <c r="U8" t="inlineStr">
        <is>
          <t>https://www.sec.gov/Archives/edgar/data/796343/000079634323000198/adbeex991q323.htm</t>
        </is>
      </c>
    </row>
    <row r="9">
      <c r="A9" t="inlineStr">
        <is>
          <t>FY23_Q4</t>
        </is>
      </c>
      <c r="B9" t="inlineStr">
        <is>
          <t>2023-12-13</t>
        </is>
      </c>
      <c r="C9" s="4" t="n">
        <v>10</v>
      </c>
      <c r="D9" s="4" t="n">
        <v>1</v>
      </c>
      <c r="E9" s="4" t="n">
        <v>3</v>
      </c>
      <c r="F9" s="4" t="n">
        <v>2</v>
      </c>
      <c r="G9" s="4" t="n">
        <v>1</v>
      </c>
      <c r="H9" s="4" t="n">
        <v>0</v>
      </c>
      <c r="I9" s="4" t="n">
        <v>0</v>
      </c>
      <c r="J9" s="4" t="n">
        <v>3</v>
      </c>
      <c r="K9" s="6">
        <f>(D9+E9)/C9</f>
        <v/>
      </c>
      <c r="L9" s="4" t="n">
        <v>0.4</v>
      </c>
      <c r="M9" t="inlineStr">
        <is>
          <t>full transcript</t>
        </is>
      </c>
      <c r="N9" s="4" t="n">
        <v>584.64</v>
      </c>
      <c r="O9" t="inlineStr">
        <is>
          <t>FY24</t>
        </is>
      </c>
      <c r="P9" s="4" t="n">
        <v>17.6</v>
      </c>
      <c r="Q9" s="4" t="n">
        <v>18</v>
      </c>
      <c r="R9" s="12">
        <f>AVERAGE(P9:Q9)</f>
        <v/>
      </c>
      <c r="S9" s="7">
        <f>N9/R9</f>
        <v/>
      </c>
      <c r="T9" t="inlineStr">
        <is>
          <t>transcript (CFO prepared remarks)</t>
        </is>
      </c>
      <c r="U9" t="inlineStr">
        <is>
          <t>https://www.sec.gov/Archives/edgar/data/796343/000079634323000252/adbeex991q423.htm</t>
        </is>
      </c>
    </row>
    <row r="10">
      <c r="A10" t="inlineStr">
        <is>
          <t>FY24_Q1</t>
        </is>
      </c>
      <c r="B10" t="inlineStr">
        <is>
          <t>2024-03-14</t>
        </is>
      </c>
      <c r="C10" s="4" t="n">
        <v>10</v>
      </c>
      <c r="D10" s="4" t="n">
        <v>3</v>
      </c>
      <c r="E10" s="4" t="n">
        <v>4</v>
      </c>
      <c r="F10" s="4" t="n">
        <v>1</v>
      </c>
      <c r="G10" s="4" t="n">
        <v>0</v>
      </c>
      <c r="H10" s="4" t="n">
        <v>1</v>
      </c>
      <c r="I10" s="4" t="n">
        <v>0</v>
      </c>
      <c r="J10" s="4" t="n">
        <v>1</v>
      </c>
      <c r="K10" s="6">
        <f>(D10+E10)/C10</f>
        <v/>
      </c>
      <c r="L10" s="4" t="n">
        <v>0.7</v>
      </c>
      <c r="M10" t="inlineStr">
        <is>
          <t>full transcript</t>
        </is>
      </c>
      <c r="N10" s="4" t="n">
        <v>492.46</v>
      </c>
      <c r="O10" t="inlineStr">
        <is>
          <t>FY24</t>
        </is>
      </c>
      <c r="P10" s="4" t="n">
        <v>17.6</v>
      </c>
      <c r="Q10" s="4" t="n">
        <v>18</v>
      </c>
      <c r="R10" s="12">
        <f>AVERAGE(P10:Q10)</f>
        <v/>
      </c>
      <c r="S10" s="7">
        <f>N10/R10</f>
        <v/>
      </c>
      <c r="T10" t="inlineStr">
        <is>
          <t>not updated on call (Q&amp;A: analyst asked management to affirm; prior range carried)</t>
        </is>
      </c>
      <c r="U10" t="inlineStr">
        <is>
          <t>https://www.sec.gov/Archives/edgar/data/796343/000079634324000057/adbeex991q124.htm</t>
        </is>
      </c>
    </row>
    <row r="11">
      <c r="A11" t="inlineStr">
        <is>
          <t>FY24_Q2</t>
        </is>
      </c>
      <c r="B11" t="inlineStr">
        <is>
          <t>2024-06-13</t>
        </is>
      </c>
      <c r="C11" s="4" t="n">
        <v>13</v>
      </c>
      <c r="D11" s="4" t="n">
        <v>0</v>
      </c>
      <c r="E11" s="4" t="n">
        <v>5</v>
      </c>
      <c r="F11" s="4" t="n">
        <v>4</v>
      </c>
      <c r="G11" s="4" t="n">
        <v>2</v>
      </c>
      <c r="H11" s="4" t="n">
        <v>0</v>
      </c>
      <c r="I11" s="4" t="n">
        <v>0</v>
      </c>
      <c r="J11" s="4" t="n">
        <v>2</v>
      </c>
      <c r="K11" s="6">
        <f>(D11+E11)/C11</f>
        <v/>
      </c>
      <c r="L11" s="4" t="n">
        <v>0.385</v>
      </c>
      <c r="M11" t="inlineStr">
        <is>
          <t>full transcript</t>
        </is>
      </c>
      <c r="N11" s="4" t="n">
        <v>525.3099999999999</v>
      </c>
      <c r="O11" t="inlineStr">
        <is>
          <t>FY24</t>
        </is>
      </c>
      <c r="P11" s="4" t="n">
        <v>18</v>
      </c>
      <c r="Q11" s="4" t="n">
        <v>18.2</v>
      </c>
      <c r="R11" s="12">
        <f>AVERAGE(P11:Q11)</f>
        <v/>
      </c>
      <c r="S11" s="7">
        <f>N11/R11</f>
        <v/>
      </c>
      <c r="T11" t="inlineStr">
        <is>
          <t>transcript (CFO prepared remarks)</t>
        </is>
      </c>
      <c r="U11" t="inlineStr">
        <is>
          <t>https://www.sec.gov/Archives/edgar/data/796343/000079634324000140/adbeex991q224.htm</t>
        </is>
      </c>
    </row>
    <row r="12">
      <c r="A12" t="inlineStr">
        <is>
          <t>FY24_Q3</t>
        </is>
      </c>
      <c r="B12" t="inlineStr">
        <is>
          <t>2024-09-12</t>
        </is>
      </c>
      <c r="C12" s="4" t="n">
        <v>8</v>
      </c>
      <c r="D12" s="4" t="n">
        <v>0</v>
      </c>
      <c r="E12" s="4" t="n">
        <v>2</v>
      </c>
      <c r="F12" s="4" t="n">
        <v>2</v>
      </c>
      <c r="G12" s="4" t="n">
        <v>1</v>
      </c>
      <c r="H12" s="4" t="n">
        <v>1</v>
      </c>
      <c r="I12" s="4" t="n">
        <v>0</v>
      </c>
      <c r="J12" s="4" t="n">
        <v>2</v>
      </c>
      <c r="K12" s="6">
        <f>(D12+E12)/C12</f>
        <v/>
      </c>
      <c r="L12" s="4" t="n">
        <v>0.625</v>
      </c>
      <c r="M12" t="inlineStr">
        <is>
          <t>full transcript</t>
        </is>
      </c>
      <c r="N12" s="4" t="n">
        <v>536.87</v>
      </c>
      <c r="O12" t="inlineStr">
        <is>
          <t>FY24</t>
        </is>
      </c>
      <c r="P12" s="4" t="n">
        <v>18.24</v>
      </c>
      <c r="Q12" s="4" t="n">
        <v>18.29</v>
      </c>
      <c r="R12" s="12">
        <f>AVERAGE(P12:Q12)</f>
        <v/>
      </c>
      <c r="S12" s="7">
        <f>N12/R12</f>
        <v/>
      </c>
      <c r="T12" t="inlineStr">
        <is>
          <t>implied: 9M actual 13.61 (4.48+4.48+4.65) + Q4 target 4.63-4.68 from transcript</t>
        </is>
      </c>
      <c r="U12" t="inlineStr">
        <is>
          <t>https://www.sec.gov/Archives/edgar/data/796343/000079634324000200/adbeex991q324.htm</t>
        </is>
      </c>
    </row>
    <row r="13">
      <c r="A13" t="inlineStr">
        <is>
          <t>FY24_Q4</t>
        </is>
      </c>
      <c r="B13" t="inlineStr">
        <is>
          <t>2024-12-11</t>
        </is>
      </c>
      <c r="C13" s="4" t="n">
        <v>10</v>
      </c>
      <c r="D13" s="4" t="n">
        <v>0</v>
      </c>
      <c r="E13" s="4" t="n">
        <v>4</v>
      </c>
      <c r="F13" s="4" t="n">
        <v>4</v>
      </c>
      <c r="G13" s="4" t="n">
        <v>0</v>
      </c>
      <c r="H13" s="4" t="n">
        <v>0</v>
      </c>
      <c r="I13" s="4" t="n">
        <v>0</v>
      </c>
      <c r="J13" s="4" t="n">
        <v>2</v>
      </c>
      <c r="K13" s="6">
        <f>(D13+E13)/C13</f>
        <v/>
      </c>
      <c r="L13" s="4" t="n">
        <v>0.6</v>
      </c>
      <c r="M13" t="inlineStr">
        <is>
          <t>full transcript</t>
        </is>
      </c>
      <c r="N13" s="4" t="n">
        <v>474.63</v>
      </c>
      <c r="O13" t="inlineStr">
        <is>
          <t>FY25</t>
        </is>
      </c>
      <c r="P13" s="4" t="n">
        <v>20.2</v>
      </c>
      <c r="Q13" s="4" t="n">
        <v>20.5</v>
      </c>
      <c r="R13" s="12">
        <f>AVERAGE(P13:Q13)</f>
        <v/>
      </c>
      <c r="S13" s="7">
        <f>N13/R13</f>
        <v/>
      </c>
      <c r="T13" t="inlineStr">
        <is>
          <t>transcript (CFO prepared remarks)</t>
        </is>
      </c>
      <c r="U13" t="inlineStr">
        <is>
          <t>https://www.sec.gov/Archives/edgar/data/796343/000079634324000250/adbeex991q424.htm</t>
        </is>
      </c>
    </row>
    <row r="14">
      <c r="A14" t="inlineStr">
        <is>
          <t>FY25_Q1</t>
        </is>
      </c>
      <c r="B14" t="inlineStr">
        <is>
          <t>2025-03-12</t>
        </is>
      </c>
      <c r="C14" s="4" t="n">
        <v>13</v>
      </c>
      <c r="D14" s="4" t="n">
        <v>1</v>
      </c>
      <c r="E14" s="4" t="n">
        <v>0</v>
      </c>
      <c r="F14" s="4" t="n">
        <v>5</v>
      </c>
      <c r="G14" s="4" t="n">
        <v>0</v>
      </c>
      <c r="H14" s="4" t="n">
        <v>2</v>
      </c>
      <c r="I14" s="4" t="n">
        <v>0</v>
      </c>
      <c r="J14" s="4" t="n">
        <v>5</v>
      </c>
      <c r="K14" s="6">
        <f>(D14+E14)/C14</f>
        <v/>
      </c>
      <c r="L14" s="4" t="n">
        <v>0.231</v>
      </c>
      <c r="M14" t="inlineStr">
        <is>
          <t>full transcript</t>
        </is>
      </c>
      <c r="N14" s="4" t="n">
        <v>377.84</v>
      </c>
      <c r="O14" t="inlineStr">
        <is>
          <t>FY25</t>
        </is>
      </c>
      <c r="P14" s="4" t="n">
        <v>20.2</v>
      </c>
      <c r="Q14" s="4" t="n">
        <v>20.5</v>
      </c>
      <c r="R14" s="12">
        <f>AVERAGE(P14:Q14)</f>
        <v/>
      </c>
      <c r="S14" s="7">
        <f>N14/R14</f>
        <v/>
      </c>
      <c r="T14" t="inlineStr">
        <is>
          <t>transcript: 'reaffirm our fiscal '25 targets'</t>
        </is>
      </c>
      <c r="U14" t="inlineStr">
        <is>
          <t>https://www.sec.gov/Archives/edgar/data/796343/000079634325000052/adbeex991q125.htm</t>
        </is>
      </c>
    </row>
    <row r="15">
      <c r="A15" t="inlineStr">
        <is>
          <t>FY25_Q2</t>
        </is>
      </c>
      <c r="B15" t="inlineStr">
        <is>
          <t>2025-06-12</t>
        </is>
      </c>
      <c r="C15" s="4" t="n">
        <v>2</v>
      </c>
      <c r="D15" s="4" t="n">
        <v>1</v>
      </c>
      <c r="E15" s="4" t="n">
        <v>1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6">
        <f>(D15+E15)/C15</f>
        <v/>
      </c>
      <c r="L15" s="4" t="n">
        <v>1</v>
      </c>
      <c r="M15" t="inlineStr">
        <is>
          <t>partial coverage: Alex Zukin (Wolfe), Brent Thill (Jefferies</t>
        </is>
      </c>
      <c r="N15" s="4" t="n">
        <v>391.68</v>
      </c>
      <c r="O15" t="inlineStr">
        <is>
          <t>FY25</t>
        </is>
      </c>
      <c r="P15" s="4" t="n">
        <v>20.5</v>
      </c>
      <c r="Q15" s="4" t="n">
        <v>20.7</v>
      </c>
      <c r="R15" s="12">
        <f>AVERAGE(P15:Q15)</f>
        <v/>
      </c>
      <c r="S15" s="7">
        <f>N15/R15</f>
        <v/>
      </c>
      <c r="T15" t="inlineStr">
        <is>
          <t>WebSearch snippet of Q2 FY25 press release (8-K ex99.1); transcript not available</t>
        </is>
      </c>
      <c r="U15" t="inlineStr">
        <is>
          <t>https://www.sec.gov/Archives/edgar/data/796343/000079634325000064/adbeex991q225.htm</t>
        </is>
      </c>
    </row>
    <row r="16">
      <c r="A16" t="inlineStr">
        <is>
          <t>FY25_Q3</t>
        </is>
      </c>
      <c r="B16" t="inlineStr">
        <is>
          <t>2025-09-11</t>
        </is>
      </c>
      <c r="C16" s="4" t="n">
        <v>10</v>
      </c>
      <c r="D16" s="4" t="n">
        <v>2</v>
      </c>
      <c r="E16" s="4" t="n">
        <v>3</v>
      </c>
      <c r="F16" s="4" t="n">
        <v>2</v>
      </c>
      <c r="G16" s="4" t="n">
        <v>2</v>
      </c>
      <c r="H16" s="4" t="n">
        <v>1</v>
      </c>
      <c r="I16" s="4" t="n">
        <v>0</v>
      </c>
      <c r="J16" s="4" t="n">
        <v>0</v>
      </c>
      <c r="K16" s="6">
        <f>(D16+E16)/C16</f>
        <v/>
      </c>
      <c r="L16" s="4" t="n">
        <v>0.5</v>
      </c>
      <c r="M16" t="inlineStr">
        <is>
          <t>full transcript</t>
        </is>
      </c>
      <c r="N16" s="4" t="n">
        <v>349.36</v>
      </c>
      <c r="O16" t="inlineStr">
        <is>
          <t>FY25</t>
        </is>
      </c>
      <c r="P16" s="4" t="n">
        <v>20.8</v>
      </c>
      <c r="Q16" s="4" t="n">
        <v>20.85</v>
      </c>
      <c r="R16" s="12">
        <f>AVERAGE(P16:Q16)</f>
        <v/>
      </c>
      <c r="S16" s="7">
        <f>N16/R16</f>
        <v/>
      </c>
      <c r="T16" t="inlineStr">
        <is>
          <t>transcript (CFO prepared remarks)</t>
        </is>
      </c>
      <c r="U16" t="inlineStr">
        <is>
          <t>https://www.sec.gov/Archives/edgar/data/796343/000079634325000102/adbeex991q325.htm</t>
        </is>
      </c>
    </row>
    <row r="17">
      <c r="A17" t="inlineStr">
        <is>
          <t>FY25_Q4</t>
        </is>
      </c>
      <c r="B17" t="inlineStr">
        <is>
          <t>2025-12-10</t>
        </is>
      </c>
      <c r="C17" s="4" t="n">
        <v>8</v>
      </c>
      <c r="D17" s="4" t="n">
        <v>0</v>
      </c>
      <c r="E17" s="4" t="n">
        <v>3</v>
      </c>
      <c r="F17" s="4" t="n">
        <v>3</v>
      </c>
      <c r="G17" s="4" t="n">
        <v>2</v>
      </c>
      <c r="H17" s="4" t="n">
        <v>0</v>
      </c>
      <c r="I17" s="4" t="n">
        <v>0</v>
      </c>
      <c r="J17" s="4" t="n">
        <v>0</v>
      </c>
      <c r="K17" s="6">
        <f>(D17+E17)/C17</f>
        <v/>
      </c>
      <c r="L17" s="4" t="n">
        <v>0.375</v>
      </c>
      <c r="M17" t="inlineStr">
        <is>
          <t>full transcript</t>
        </is>
      </c>
      <c r="N17" s="4" t="n">
        <v>350.43</v>
      </c>
      <c r="O17" t="inlineStr">
        <is>
          <t>FY26</t>
        </is>
      </c>
      <c r="P17" s="4" t="n">
        <v>23.3</v>
      </c>
      <c r="Q17" s="4" t="n">
        <v>23.5</v>
      </c>
      <c r="R17" s="12">
        <f>AVERAGE(P17:Q17)</f>
        <v/>
      </c>
      <c r="S17" s="7">
        <f>N17/R17</f>
        <v/>
      </c>
      <c r="T17" t="inlineStr">
        <is>
          <t>transcript (CFO prepared remarks)</t>
        </is>
      </c>
      <c r="U17" t="inlineStr">
        <is>
          <t>https://www.sec.gov/Archives/edgar/data/796343/000079634325000135/adbeex991q425.htm</t>
        </is>
      </c>
    </row>
    <row r="18">
      <c r="A18" t="inlineStr">
        <is>
          <t>FY26_Q1</t>
        </is>
      </c>
      <c r="B18" t="inlineStr">
        <is>
          <t>2026-03-12</t>
        </is>
      </c>
      <c r="C18" s="4" t="n">
        <v>10</v>
      </c>
      <c r="D18" s="4" t="n">
        <v>1</v>
      </c>
      <c r="E18" s="4" t="n">
        <v>2</v>
      </c>
      <c r="F18" s="4" t="n">
        <v>3</v>
      </c>
      <c r="G18" s="4" t="n">
        <v>0</v>
      </c>
      <c r="H18" s="4" t="n">
        <v>1</v>
      </c>
      <c r="I18" s="4" t="n">
        <v>2</v>
      </c>
      <c r="J18" s="4" t="n">
        <v>1</v>
      </c>
      <c r="K18" s="6">
        <f>(D18+E18)/C18</f>
        <v/>
      </c>
      <c r="L18" s="4" t="n">
        <v>0.4</v>
      </c>
      <c r="M18" t="inlineStr">
        <is>
          <t>full transcript</t>
        </is>
      </c>
      <c r="N18" s="4" t="n">
        <v>249.32</v>
      </c>
      <c r="O18" t="inlineStr">
        <is>
          <t>FY26</t>
        </is>
      </c>
      <c r="P18" s="4" t="n">
        <v>23.3</v>
      </c>
      <c r="Q18" s="4" t="n">
        <v>23.5</v>
      </c>
      <c r="R18" s="12">
        <f>AVERAGE(P18:Q18)</f>
        <v/>
      </c>
      <c r="S18" s="7">
        <f>N18/R18</f>
        <v/>
      </c>
      <c r="T18" t="inlineStr">
        <is>
          <t>transcript: 'we are reaffirming our FY '26 targets'</t>
        </is>
      </c>
      <c r="U18" t="inlineStr">
        <is>
          <t>https://www.sec.gov/Archives/edgar/data/796343/000079634326000048/adbeex991q126.htm</t>
        </is>
      </c>
    </row>
    <row r="19">
      <c r="A19" t="inlineStr">
        <is>
          <t>FY26_Q2</t>
        </is>
      </c>
      <c r="B19" t="inlineStr">
        <is>
          <t>2026-06-11</t>
        </is>
      </c>
      <c r="C19" s="4" t="n">
        <v>10</v>
      </c>
      <c r="D19" s="4" t="n">
        <v>3</v>
      </c>
      <c r="E19" s="4" t="n">
        <v>5</v>
      </c>
      <c r="F19" s="4" t="n">
        <v>0</v>
      </c>
      <c r="G19" s="4" t="n">
        <v>1</v>
      </c>
      <c r="H19" s="4" t="n">
        <v>0</v>
      </c>
      <c r="I19" s="4" t="n">
        <v>1</v>
      </c>
      <c r="J19" s="4" t="n">
        <v>0</v>
      </c>
      <c r="K19" s="6">
        <f>(D19+E19)/C19</f>
        <v/>
      </c>
      <c r="L19" s="4" t="n">
        <v>0.8</v>
      </c>
      <c r="M19" t="inlineStr">
        <is>
          <t>full transcript</t>
        </is>
      </c>
      <c r="N19" s="4" t="n">
        <v>204.02</v>
      </c>
      <c r="O19" t="inlineStr">
        <is>
          <t>FY26</t>
        </is>
      </c>
      <c r="P19" s="4" t="n">
        <v>24.35</v>
      </c>
      <c r="Q19" s="4" t="n">
        <v>24.45</v>
      </c>
      <c r="R19" s="12">
        <f>AVERAGE(P19:Q19)</f>
        <v/>
      </c>
      <c r="S19" s="7">
        <f>N19/R19</f>
        <v/>
      </c>
      <c r="T19" t="inlineStr">
        <is>
          <t>press-release text bundled with transcript file ('Non-GAAP: $24.35 to $24.45') + WebSearch</t>
        </is>
      </c>
      <c r="U19" t="inlineStr">
        <is>
          <t>https://www.sec.gov/Archives/edgar/data/0000796343/000079634326000109/adbeex991q226.htm</t>
        </is>
      </c>
    </row>
    <row r="20">
      <c r="A20" t="inlineStr">
        <is>
          <t>FY26_Q3</t>
        </is>
      </c>
      <c r="B20" t="inlineStr">
        <is>
          <t>2026-09-10</t>
        </is>
      </c>
      <c r="C20" s="4" t="n">
        <v>6</v>
      </c>
      <c r="D20" s="4" t="n">
        <v>1</v>
      </c>
      <c r="E20" s="4" t="n">
        <v>2</v>
      </c>
      <c r="F20" s="4" t="n">
        <v>2</v>
      </c>
      <c r="G20" s="4" t="n">
        <v>0</v>
      </c>
      <c r="H20" s="4" t="n">
        <v>0</v>
      </c>
      <c r="I20" s="4" t="n">
        <v>0</v>
      </c>
      <c r="J20" s="4" t="n">
        <v>1</v>
      </c>
      <c r="K20" s="6">
        <f>(D20+E20)/C20</f>
        <v/>
      </c>
      <c r="L20" s="4" t="n">
        <v>0.833</v>
      </c>
      <c r="M20" t="inlineStr">
        <is>
          <t xml:space="preserve">partial coverage: Michael Turrin (Wells Fargo), Saket Kalia </t>
        </is>
      </c>
      <c r="N20" s="4" t="n">
        <v>252.23</v>
      </c>
      <c r="O20" t="inlineStr">
        <is>
          <t>FY26</t>
        </is>
      </c>
      <c r="P20" s="4" t="n">
        <v>24.45</v>
      </c>
      <c r="Q20" s="4" t="n">
        <v>24.5</v>
      </c>
      <c r="R20" s="12">
        <f>AVERAGE(P20:Q20)</f>
        <v/>
      </c>
      <c r="S20" s="7">
        <f>N20/R20</f>
        <v/>
      </c>
      <c r="T20" t="inlineStr">
        <is>
          <t>WebSearch snippet of Q3 FY26 press release (8-K ex99.1); transcript not available</t>
        </is>
      </c>
      <c r="U20" t="inlineStr">
        <is>
          <t>https://www.sec.gov/Archives/edgar/data/0000796343/000079634326000147/adbeex991q326.htm</t>
        </is>
      </c>
    </row>
    <row r="21"/>
    <row r="22">
      <c r="A22" t="inlineStr">
        <is>
          <t>Correlation(fear index strict, forward P/E), all 15 calls (formula)</t>
        </is>
      </c>
      <c r="B22" s="6">
        <f>CORREL(K6:K20,S6:S20)</f>
        <v/>
      </c>
    </row>
    <row r="23">
      <c r="A23" t="inlineStr">
        <is>
          <t>Mean fear index FY23 calls (formula)</t>
        </is>
      </c>
      <c r="B23" s="6">
        <f>AVERAGE(K6:K9)</f>
        <v/>
      </c>
    </row>
    <row r="24">
      <c r="A24" t="inlineStr">
        <is>
          <t>Mean fear index FY26 calls (formula)</t>
        </is>
      </c>
      <c r="B24" s="6">
        <f>AVERAGE(K18:K20)</f>
        <v/>
      </c>
    </row>
    <row r="25">
      <c r="A25" t="inlineStr">
        <is>
          <t>Forward P/E change, first to last call (formula)</t>
        </is>
      </c>
      <c r="B25" s="8">
        <f>S20/S6-1</f>
        <v/>
      </c>
    </row>
    <row r="26"/>
    <row r="27">
      <c r="A27" s="1" t="inlineStr">
        <is>
          <t>B. Management vocabulary per 10k words: seat vs usage terms (hits in blue; rates and ratio are formulas)</t>
        </is>
      </c>
    </row>
    <row r="28">
      <c r="A28" s="3" t="inlineStr">
        <is>
          <t>call</t>
        </is>
      </c>
      <c r="B28" s="3" t="inlineStr">
        <is>
          <t>date</t>
        </is>
      </c>
      <c r="C28" s="3" t="inlineStr">
        <is>
          <t>mgmt_words</t>
        </is>
      </c>
      <c r="D28" s="3" t="inlineStr">
        <is>
          <t>seat_hits</t>
        </is>
      </c>
      <c r="E28" s="3" t="inlineStr">
        <is>
          <t>usage_hits</t>
        </is>
      </c>
      <c r="F28" s="3" t="inlineStr">
        <is>
          <t>seat_per_10k (f)</t>
        </is>
      </c>
      <c r="G28" s="3" t="inlineStr">
        <is>
          <t>usage_per_10k (f)</t>
        </is>
      </c>
      <c r="H28" s="3" t="inlineStr">
        <is>
          <t>usage_minus_seat (f)</t>
        </is>
      </c>
      <c r="I28" s="3" t="inlineStr">
        <is>
          <t>usage_to_seat_ratio (f)</t>
        </is>
      </c>
      <c r="J28" s="3" t="inlineStr">
        <is>
          <t>detail</t>
        </is>
      </c>
    </row>
    <row r="29">
      <c r="A29" t="inlineStr">
        <is>
          <t>FY23_Q1</t>
        </is>
      </c>
      <c r="B29" t="inlineStr">
        <is>
          <t>2023-03-15</t>
        </is>
      </c>
      <c r="C29" s="4" t="n">
        <v>7754</v>
      </c>
      <c r="D29" s="4" t="n">
        <v>2</v>
      </c>
      <c r="E29" s="4" t="n">
        <v>5</v>
      </c>
      <c r="F29" s="7">
        <f>D29/C29*10000</f>
        <v/>
      </c>
      <c r="G29" s="7">
        <f>E29/C29*10000</f>
        <v/>
      </c>
      <c r="H29" s="7">
        <f>G29-F29</f>
        <v/>
      </c>
      <c r="I29" s="7">
        <f>IF(D29=0,"n/a",E29/D29)</f>
        <v/>
      </c>
      <c r="J29" t="inlineStr">
        <is>
          <t>{"seat": 1, "subscribers": 1, "consumption": 1, "usage": 2, "apis?": 2}</t>
        </is>
      </c>
    </row>
    <row r="30">
      <c r="A30" t="inlineStr">
        <is>
          <t>FY23_Q2</t>
        </is>
      </c>
      <c r="B30" t="inlineStr">
        <is>
          <t>2023-06-15</t>
        </is>
      </c>
      <c r="C30" s="4" t="n">
        <v>8134</v>
      </c>
      <c r="D30" s="4" t="n">
        <v>3</v>
      </c>
      <c r="E30" s="4" t="n">
        <v>8</v>
      </c>
      <c r="F30" s="7">
        <f>D30/C30*10000</f>
        <v/>
      </c>
      <c r="G30" s="7">
        <f>E30/C30*10000</f>
        <v/>
      </c>
      <c r="H30" s="7">
        <f>G30-F30</f>
        <v/>
      </c>
      <c r="I30" s="7">
        <f>IF(D30=0,"n/a",E30/D30)</f>
        <v/>
      </c>
      <c r="J30" t="inlineStr">
        <is>
          <t>{"seat": 2, "subscribers": 1, "credit": 2, "consumption": 1, "usage": 2, "generations": 2, "apis?": 1}</t>
        </is>
      </c>
    </row>
    <row r="31">
      <c r="A31" t="inlineStr">
        <is>
          <t>FY23_Q3</t>
        </is>
      </c>
      <c r="B31" t="inlineStr">
        <is>
          <t>2023-09-14</t>
        </is>
      </c>
      <c r="C31" s="4" t="n">
        <v>8117</v>
      </c>
      <c r="D31" s="4" t="n">
        <v>1</v>
      </c>
      <c r="E31" s="4" t="n">
        <v>27</v>
      </c>
      <c r="F31" s="7">
        <f>D31/C31*10000</f>
        <v/>
      </c>
      <c r="G31" s="7">
        <f>E31/C31*10000</f>
        <v/>
      </c>
      <c r="H31" s="7">
        <f>G31-F31</f>
        <v/>
      </c>
      <c r="I31" s="7">
        <f>IF(D31=0,"n/a",E31/D31)</f>
        <v/>
      </c>
      <c r="J31" t="inlineStr">
        <is>
          <t>{"subscribers": 1, "credit": 3, "credits": 11, "consumption": 1, "usage": 5, "apis?": 7}</t>
        </is>
      </c>
    </row>
    <row r="32">
      <c r="A32" t="inlineStr">
        <is>
          <t>FY23_Q4</t>
        </is>
      </c>
      <c r="B32" t="inlineStr">
        <is>
          <t>2023-12-13</t>
        </is>
      </c>
      <c r="C32" s="4" t="n">
        <v>8304</v>
      </c>
      <c r="D32" s="4" t="n">
        <v>1</v>
      </c>
      <c r="E32" s="4" t="n">
        <v>23</v>
      </c>
      <c r="F32" s="7">
        <f>D32/C32*10000</f>
        <v/>
      </c>
      <c r="G32" s="7">
        <f>E32/C32*10000</f>
        <v/>
      </c>
      <c r="H32" s="7">
        <f>G32-F32</f>
        <v/>
      </c>
      <c r="I32" s="7">
        <f>IF(D32=0,"n/a",E32/D32)</f>
        <v/>
      </c>
      <c r="J32" t="inlineStr">
        <is>
          <t>{"subscriber": 1, "credits": 2, "consumption": 1, "usage": 15, "generations": 4, "apis?": 1}</t>
        </is>
      </c>
    </row>
    <row r="33">
      <c r="A33" t="inlineStr">
        <is>
          <t>FY24_Q1</t>
        </is>
      </c>
      <c r="B33" t="inlineStr">
        <is>
          <t>2024-03-14</t>
        </is>
      </c>
      <c r="C33" s="4" t="n">
        <v>9154</v>
      </c>
      <c r="D33" s="4" t="n">
        <v>4</v>
      </c>
      <c r="E33" s="4" t="n">
        <v>33</v>
      </c>
      <c r="F33" s="7">
        <f>D33/C33*10000</f>
        <v/>
      </c>
      <c r="G33" s="7">
        <f>E33/C33*10000</f>
        <v/>
      </c>
      <c r="H33" s="7">
        <f>G33-F33</f>
        <v/>
      </c>
      <c r="I33" s="7">
        <f>IF(D33=0,"n/a",E33/D33)</f>
        <v/>
      </c>
      <c r="J33" t="inlineStr">
        <is>
          <t>{"seats": 2, "subscribers": 2, "credit": 1, "credits": 2, "consumption": 1, "usage": 8, "generations": 1, "firefly services": 14, "apis?": 6}</t>
        </is>
      </c>
    </row>
    <row r="34">
      <c r="A34" t="inlineStr">
        <is>
          <t>FY24_Q2</t>
        </is>
      </c>
      <c r="B34" t="inlineStr">
        <is>
          <t>2024-06-13</t>
        </is>
      </c>
      <c r="C34" s="4" t="n">
        <v>8378</v>
      </c>
      <c r="D34" s="4" t="n">
        <v>1</v>
      </c>
      <c r="E34" s="4" t="n">
        <v>34</v>
      </c>
      <c r="F34" s="7">
        <f>D34/C34*10000</f>
        <v/>
      </c>
      <c r="G34" s="7">
        <f>E34/C34*10000</f>
        <v/>
      </c>
      <c r="H34" s="7">
        <f>G34-F34</f>
        <v/>
      </c>
      <c r="I34" s="7">
        <f>IF(D34=0,"n/a",E34/D34)</f>
        <v/>
      </c>
      <c r="J34" t="inlineStr">
        <is>
          <t>{"seat": 1, "credit": 1, "consumption": 1, "usage": 12, "generations": 5, "firefly services": 12, "apis?": 2, "outcomes": 1}</t>
        </is>
      </c>
    </row>
    <row r="35">
      <c r="A35" t="inlineStr">
        <is>
          <t>FY24_Q3</t>
        </is>
      </c>
      <c r="B35" t="inlineStr">
        <is>
          <t>2024-09-12</t>
        </is>
      </c>
      <c r="C35" s="4" t="n">
        <v>7705</v>
      </c>
      <c r="D35" s="4" t="n">
        <v>1</v>
      </c>
      <c r="E35" s="4" t="n">
        <v>32</v>
      </c>
      <c r="F35" s="7">
        <f>D35/C35*10000</f>
        <v/>
      </c>
      <c r="G35" s="7">
        <f>E35/C35*10000</f>
        <v/>
      </c>
      <c r="H35" s="7">
        <f>G35-F35</f>
        <v/>
      </c>
      <c r="I35" s="7">
        <f>IF(D35=0,"n/a",E35/D35)</f>
        <v/>
      </c>
      <c r="J35" t="inlineStr">
        <is>
          <t>{"subscribers": 1, "credits": 4, "consumption": 6, "usage": 7, "generations": 4, "firefly services": 6, "apis?": 5}</t>
        </is>
      </c>
    </row>
    <row r="36">
      <c r="A36" t="inlineStr">
        <is>
          <t>FY24_Q4</t>
        </is>
      </c>
      <c r="B36" t="inlineStr">
        <is>
          <t>2024-12-11</t>
        </is>
      </c>
      <c r="C36" s="4" t="n">
        <v>7938</v>
      </c>
      <c r="D36" s="4" t="n">
        <v>1</v>
      </c>
      <c r="E36" s="4" t="n">
        <v>28</v>
      </c>
      <c r="F36" s="7">
        <f>D36/C36*10000</f>
        <v/>
      </c>
      <c r="G36" s="7">
        <f>E36/C36*10000</f>
        <v/>
      </c>
      <c r="H36" s="7">
        <f>G36-F36</f>
        <v/>
      </c>
      <c r="I36" s="7">
        <f>IF(D36=0,"n/a",E36/D36)</f>
        <v/>
      </c>
      <c r="J36" t="inlineStr">
        <is>
          <t>{"subscribers": 1, "credits": 1, "consumption": 5, "usage": 3, "generations": 4, "firefly services": 13, "apis?": 2}</t>
        </is>
      </c>
    </row>
    <row r="37">
      <c r="A37" t="inlineStr">
        <is>
          <t>FY25_Q1</t>
        </is>
      </c>
      <c r="B37" t="inlineStr">
        <is>
          <t>2025-03-12</t>
        </is>
      </c>
      <c r="C37" s="4" t="n">
        <v>8490</v>
      </c>
      <c r="D37" s="4" t="n">
        <v>3</v>
      </c>
      <c r="E37" s="4" t="n">
        <v>26</v>
      </c>
      <c r="F37" s="7">
        <f>D37/C37*10000</f>
        <v/>
      </c>
      <c r="G37" s="7">
        <f>E37/C37*10000</f>
        <v/>
      </c>
      <c r="H37" s="7">
        <f>G37-F37</f>
        <v/>
      </c>
      <c r="I37" s="7">
        <f>IF(D37=0,"n/a",E37/D37)</f>
        <v/>
      </c>
      <c r="J37" t="inlineStr">
        <is>
          <t>{"seats": 2, "subscribers": 1, "credits": 1, "consumption": 4, "usage": 8, "generations": 3, "firefly services": 9, "outcomes": 1}</t>
        </is>
      </c>
    </row>
    <row r="38">
      <c r="A38" t="inlineStr">
        <is>
          <t>FY25_Q3</t>
        </is>
      </c>
      <c r="B38" t="inlineStr">
        <is>
          <t>2025-09-11</t>
        </is>
      </c>
      <c r="C38" s="4" t="n">
        <v>8168</v>
      </c>
      <c r="D38" s="4" t="n">
        <v>6</v>
      </c>
      <c r="E38" s="4" t="n">
        <v>31</v>
      </c>
      <c r="F38" s="7">
        <f>D38/C38*10000</f>
        <v/>
      </c>
      <c r="G38" s="7">
        <f>E38/C38*10000</f>
        <v/>
      </c>
      <c r="H38" s="7">
        <f>G38-F38</f>
        <v/>
      </c>
      <c r="I38" s="7">
        <f>IF(D38=0,"n/a",E38/D38)</f>
        <v/>
      </c>
      <c r="J38" t="inlineStr">
        <is>
          <t>{"seat": 5, "subscribers": 1, "consumption": 5, "usage": 10, "generations": 4, "firefly services": 11, "outcomes": 1}</t>
        </is>
      </c>
    </row>
    <row r="39">
      <c r="A39" t="inlineStr">
        <is>
          <t>FY25_Q4</t>
        </is>
      </c>
      <c r="B39" t="inlineStr">
        <is>
          <t>2025-12-10</t>
        </is>
      </c>
      <c r="C39" s="4" t="n">
        <v>7809</v>
      </c>
      <c r="D39" s="4" t="n">
        <v>2</v>
      </c>
      <c r="E39" s="4" t="n">
        <v>42</v>
      </c>
      <c r="F39" s="7">
        <f>D39/C39*10000</f>
        <v/>
      </c>
      <c r="G39" s="7">
        <f>E39/C39*10000</f>
        <v/>
      </c>
      <c r="H39" s="7">
        <f>G39-F39</f>
        <v/>
      </c>
      <c r="I39" s="7">
        <f>IF(D39=0,"n/a",E39/D39)</f>
        <v/>
      </c>
      <c r="J39" t="inlineStr">
        <is>
          <t>{"seat": 1, "subscribers": 1, "credit": 6, "credits": 12, "consumption": 5, "usage": 6, "firefly services": 10, "apis?": 2, "outcome": 1}</t>
        </is>
      </c>
    </row>
    <row r="40">
      <c r="A40" t="inlineStr">
        <is>
          <t>FY26_Q1</t>
        </is>
      </c>
      <c r="B40" t="inlineStr">
        <is>
          <t>2026-03-12</t>
        </is>
      </c>
      <c r="C40" s="4" t="n">
        <v>7638</v>
      </c>
      <c r="D40" s="4" t="n">
        <v>2</v>
      </c>
      <c r="E40" s="4" t="n">
        <v>40</v>
      </c>
      <c r="F40" s="7">
        <f>D40/C40*10000</f>
        <v/>
      </c>
      <c r="G40" s="7">
        <f>E40/C40*10000</f>
        <v/>
      </c>
      <c r="H40" s="7">
        <f>G40-F40</f>
        <v/>
      </c>
      <c r="I40" s="7">
        <f>IF(D40=0,"n/a",E40/D40)</f>
        <v/>
      </c>
      <c r="J40" t="inlineStr">
        <is>
          <t>{"license": 2, "credit": 8, "credits": 2, "consumption": 5, "usage": 12, "generations": 3, "firefly services": 4, "apis?": 2, "outcome": 2, "outcomes": 2}</t>
        </is>
      </c>
    </row>
    <row r="41">
      <c r="A41" t="inlineStr">
        <is>
          <t>FY26_Q2</t>
        </is>
      </c>
      <c r="B41" t="inlineStr">
        <is>
          <t>2026-06-11</t>
        </is>
      </c>
      <c r="C41" s="4" t="n">
        <v>4804</v>
      </c>
      <c r="D41" s="4" t="n">
        <v>1</v>
      </c>
      <c r="E41" s="4" t="n">
        <v>11</v>
      </c>
      <c r="F41" s="7">
        <f>D41/C41*10000</f>
        <v/>
      </c>
      <c r="G41" s="7">
        <f>E41/C41*10000</f>
        <v/>
      </c>
      <c r="H41" s="7">
        <f>G41-F41</f>
        <v/>
      </c>
      <c r="I41" s="7">
        <f>IF(D41=0,"n/a",E41/D41)</f>
        <v/>
      </c>
      <c r="J41" t="inlineStr">
        <is>
          <t>{"subscribers": 1, "credit": 2, "consumption": 2, "usage": 7}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cols>
    <col width="60" customWidth="1" min="1" max="1"/>
    <col width="44" customWidth="1" min="2" max="2"/>
    <col width="27" customWidth="1" min="3" max="3"/>
    <col width="23" customWidth="1" min="4" max="4"/>
    <col width="23" customWidth="1" min="5" max="5"/>
    <col width="18" customWidth="1" min="6" max="6"/>
    <col width="17" customWidth="1" min="7" max="7"/>
    <col width="18" customWidth="1" min="8" max="8"/>
    <col width="29" customWidth="1" min="9" max="9"/>
    <col width="37" customWidth="1" min="10" max="10"/>
    <col width="60" customWidth="1" min="11" max="11"/>
  </cols>
  <sheetData>
    <row r="1">
      <c r="A1" s="1" t="inlineStr">
        <is>
          <t>WS5: competitor growth vs Adobe (blue = sourced input; black = formula)</t>
        </is>
      </c>
    </row>
    <row r="2"/>
    <row r="3">
      <c r="A3" s="2" t="inlineStr">
        <is>
          <t>Source: research/ws5_trends_competitors/data/growth_comparison.csv; each row's primary URL is in the Sources tab (WS5). Google Trends: UNAVAILABLE (host blocked); manual export kit in ws5 data/.</t>
        </is>
      </c>
    </row>
    <row r="4">
      <c r="A4" s="3" t="inlineStr">
        <is>
          <t>entity</t>
        </is>
      </c>
      <c r="B4" s="3" t="inlineStr">
        <is>
          <t>metric</t>
        </is>
      </c>
      <c r="C4" s="3" t="inlineStr">
        <is>
          <t>period</t>
        </is>
      </c>
      <c r="D4" s="3" t="inlineStr">
        <is>
          <t>period_end</t>
        </is>
      </c>
      <c r="E4" s="3" t="inlineStr">
        <is>
          <t>value_musd</t>
        </is>
      </c>
      <c r="F4" s="3" t="inlineStr">
        <is>
          <t>prior_value_musd</t>
        </is>
      </c>
      <c r="G4" s="3" t="inlineStr">
        <is>
          <t>yoy_growth_calc</t>
        </is>
      </c>
      <c r="H4" s="3" t="inlineStr">
        <is>
          <t>incremental_calc</t>
        </is>
      </c>
      <c r="I4" s="3" t="inlineStr">
        <is>
          <t>annualized_incremental_calc</t>
        </is>
      </c>
      <c r="J4" s="3" t="inlineStr">
        <is>
          <t>basis</t>
        </is>
      </c>
      <c r="K4" s="3" t="inlineStr">
        <is>
          <t>note</t>
        </is>
      </c>
    </row>
    <row r="5">
      <c r="A5" t="inlineStr">
        <is>
          <t>Figma</t>
        </is>
      </c>
      <c r="B5" t="inlineStr">
        <is>
          <t>revenue</t>
        </is>
      </c>
      <c r="C5" t="inlineStr">
        <is>
          <t>FY2023</t>
        </is>
      </c>
      <c r="D5" t="inlineStr">
        <is>
          <t>2023-12-31</t>
        </is>
      </c>
      <c r="E5" s="4" t="n">
        <v>504</v>
      </c>
      <c r="F5" s="4" t="n"/>
      <c r="J5" t="inlineStr">
        <is>
          <t>reported</t>
        </is>
      </c>
      <c r="K5" t="inlineStr">
        <is>
          <t>S-1</t>
        </is>
      </c>
    </row>
    <row r="6">
      <c r="A6" t="inlineStr">
        <is>
          <t>Figma</t>
        </is>
      </c>
      <c r="B6" t="inlineStr">
        <is>
          <t>revenue</t>
        </is>
      </c>
      <c r="C6" t="inlineStr">
        <is>
          <t>FY2024</t>
        </is>
      </c>
      <c r="D6" t="inlineStr">
        <is>
          <t>2024-12-31</t>
        </is>
      </c>
      <c r="E6" s="4" t="n">
        <v>749</v>
      </c>
      <c r="F6" s="4" t="n">
        <v>504</v>
      </c>
      <c r="G6" s="8">
        <f>E6/F6-1</f>
        <v/>
      </c>
      <c r="H6">
        <f>E6-F6</f>
        <v/>
      </c>
      <c r="I6">
        <f>H6*1</f>
        <v/>
      </c>
      <c r="J6" t="inlineStr">
        <is>
          <t>reported</t>
        </is>
      </c>
      <c r="K6" t="inlineStr">
        <is>
          <t>S-1</t>
        </is>
      </c>
    </row>
    <row r="7">
      <c r="A7" t="inlineStr">
        <is>
          <t>Figma</t>
        </is>
      </c>
      <c r="B7" t="inlineStr">
        <is>
          <t>revenue</t>
        </is>
      </c>
      <c r="C7" t="inlineStr">
        <is>
          <t>FY2025</t>
        </is>
      </c>
      <c r="D7" t="inlineStr">
        <is>
          <t>2025-12-31</t>
        </is>
      </c>
      <c r="E7" s="4" t="n">
        <v>1056</v>
      </c>
      <c r="F7" s="4" t="n">
        <v>749</v>
      </c>
      <c r="G7" s="8">
        <f>E7/F7-1</f>
        <v/>
      </c>
      <c r="H7">
        <f>E7-F7</f>
        <v/>
      </c>
      <c r="I7">
        <f>H7*1</f>
        <v/>
      </c>
      <c r="J7" t="inlineStr">
        <is>
          <t>reported</t>
        </is>
      </c>
      <c r="K7" t="inlineStr">
        <is>
          <t>8-K 2026-02-18</t>
        </is>
      </c>
    </row>
    <row r="8">
      <c r="A8" t="inlineStr">
        <is>
          <t>Figma</t>
        </is>
      </c>
      <c r="B8" t="inlineStr">
        <is>
          <t>revenue guide (midpoint)</t>
        </is>
      </c>
      <c r="C8" t="inlineStr">
        <is>
          <t>FY2026</t>
        </is>
      </c>
      <c r="D8" t="inlineStr">
        <is>
          <t>2026-12-31</t>
        </is>
      </c>
      <c r="E8" s="4" t="n">
        <v>1465</v>
      </c>
      <c r="F8" s="4" t="n">
        <v>1056</v>
      </c>
      <c r="G8" s="8">
        <f>E8/F8-1</f>
        <v/>
      </c>
      <c r="H8">
        <f>E8-F8</f>
        <v/>
      </c>
      <c r="I8">
        <f>H8*1</f>
        <v/>
      </c>
      <c r="J8" t="inlineStr">
        <is>
          <t>guidance</t>
        </is>
      </c>
      <c r="K8" t="inlineStr">
        <is>
          <t>8-K 2026-08-05 ($1.463-1.467B)</t>
        </is>
      </c>
    </row>
    <row r="9">
      <c r="A9" t="inlineStr">
        <is>
          <t>Figma</t>
        </is>
      </c>
      <c r="B9" t="inlineStr">
        <is>
          <t>revenue</t>
        </is>
      </c>
      <c r="C9" t="inlineStr">
        <is>
          <t>Q1 2025</t>
        </is>
      </c>
      <c r="D9" t="inlineStr">
        <is>
          <t>2025-03-31</t>
        </is>
      </c>
      <c r="E9" s="4" t="n">
        <v>228.2</v>
      </c>
      <c r="F9" s="4" t="n">
        <v>156.2</v>
      </c>
      <c r="G9" s="8">
        <f>E9/F9-1</f>
        <v/>
      </c>
      <c r="H9">
        <f>E9-F9</f>
        <v/>
      </c>
      <c r="I9">
        <f>H9*4</f>
        <v/>
      </c>
      <c r="J9" t="inlineStr">
        <is>
          <t>reported</t>
        </is>
      </c>
      <c r="K9" t="inlineStr">
        <is>
          <t>S-1</t>
        </is>
      </c>
    </row>
    <row r="10">
      <c r="A10" t="inlineStr">
        <is>
          <t>Figma</t>
        </is>
      </c>
      <c r="B10" t="inlineStr">
        <is>
          <t>revenue</t>
        </is>
      </c>
      <c r="C10" t="inlineStr">
        <is>
          <t>Q2 2025</t>
        </is>
      </c>
      <c r="D10" t="inlineStr">
        <is>
          <t>2025-06-30</t>
        </is>
      </c>
      <c r="E10" s="4" t="n">
        <v>249.6</v>
      </c>
      <c r="F10" s="4" t="n">
        <v>177</v>
      </c>
      <c r="G10" s="8">
        <f>E10/F10-1</f>
        <v/>
      </c>
      <c r="H10">
        <f>E10-F10</f>
        <v/>
      </c>
      <c r="I10">
        <f>H10*4</f>
        <v/>
      </c>
      <c r="J10" t="inlineStr">
        <is>
          <t>reported; prior derived</t>
        </is>
      </c>
      <c r="K10" t="inlineStr">
        <is>
          <t>prior = 249.6/1.41</t>
        </is>
      </c>
    </row>
    <row r="11">
      <c r="A11" t="inlineStr">
        <is>
          <t>Figma</t>
        </is>
      </c>
      <c r="B11" t="inlineStr">
        <is>
          <t>revenue</t>
        </is>
      </c>
      <c r="C11" t="inlineStr">
        <is>
          <t>Q3 2025</t>
        </is>
      </c>
      <c r="D11" t="inlineStr">
        <is>
          <t>2025-09-30</t>
        </is>
      </c>
      <c r="E11" s="4" t="n">
        <v>274.2</v>
      </c>
      <c r="F11" s="4" t="n">
        <v>198.7</v>
      </c>
      <c r="G11" s="8">
        <f>E11/F11-1</f>
        <v/>
      </c>
      <c r="H11">
        <f>E11-F11</f>
        <v/>
      </c>
      <c r="I11">
        <f>H11*4</f>
        <v/>
      </c>
      <c r="J11" t="inlineStr">
        <is>
          <t>reported; prior derived</t>
        </is>
      </c>
      <c r="K11" t="inlineStr">
        <is>
          <t>prior = 274.2/1.38</t>
        </is>
      </c>
    </row>
    <row r="12">
      <c r="A12" t="inlineStr">
        <is>
          <t>Figma</t>
        </is>
      </c>
      <c r="B12" t="inlineStr">
        <is>
          <t>revenue</t>
        </is>
      </c>
      <c r="C12" t="inlineStr">
        <is>
          <t>Q4 2025</t>
        </is>
      </c>
      <c r="D12" t="inlineStr">
        <is>
          <t>2025-12-31</t>
        </is>
      </c>
      <c r="E12" s="4" t="n">
        <v>303.8</v>
      </c>
      <c r="F12" s="4" t="n">
        <v>217</v>
      </c>
      <c r="G12" s="8">
        <f>E12/F12-1</f>
        <v/>
      </c>
      <c r="H12">
        <f>E12-F12</f>
        <v/>
      </c>
      <c r="I12">
        <f>H12*4</f>
        <v/>
      </c>
      <c r="J12" t="inlineStr">
        <is>
          <t>reported; prior derived</t>
        </is>
      </c>
      <c r="K12" t="inlineStr">
        <is>
          <t>prior = 303.8/1.40</t>
        </is>
      </c>
    </row>
    <row r="13">
      <c r="A13" t="inlineStr">
        <is>
          <t>Figma</t>
        </is>
      </c>
      <c r="B13" t="inlineStr">
        <is>
          <t>revenue</t>
        </is>
      </c>
      <c r="C13" t="inlineStr">
        <is>
          <t>Q1 2026</t>
        </is>
      </c>
      <c r="D13" t="inlineStr">
        <is>
          <t>2026-03-31</t>
        </is>
      </c>
      <c r="E13" s="4" t="n">
        <v>333.4</v>
      </c>
      <c r="F13" s="4" t="n">
        <v>228.2</v>
      </c>
      <c r="G13" s="8">
        <f>E13/F13-1</f>
        <v/>
      </c>
      <c r="H13">
        <f>E13-F13</f>
        <v/>
      </c>
      <c r="I13">
        <f>H13*4</f>
        <v/>
      </c>
      <c r="J13" t="inlineStr">
        <is>
          <t>reported</t>
        </is>
      </c>
      <c r="K13" t="inlineStr">
        <is>
          <t>8-K 2026-05-14</t>
        </is>
      </c>
    </row>
    <row r="14">
      <c r="A14" t="inlineStr">
        <is>
          <t>Figma</t>
        </is>
      </c>
      <c r="B14" t="inlineStr">
        <is>
          <t>revenue</t>
        </is>
      </c>
      <c r="C14" t="inlineStr">
        <is>
          <t>Q2 2026</t>
        </is>
      </c>
      <c r="D14" t="inlineStr">
        <is>
          <t>2026-06-30</t>
        </is>
      </c>
      <c r="E14" s="4" t="n">
        <v>370.1</v>
      </c>
      <c r="F14" s="4" t="n">
        <v>249.6</v>
      </c>
      <c r="G14" s="8">
        <f>E14/F14-1</f>
        <v/>
      </c>
      <c r="H14">
        <f>E14-F14</f>
        <v/>
      </c>
      <c r="I14">
        <f>H14*4</f>
        <v/>
      </c>
      <c r="J14" t="inlineStr">
        <is>
          <t>reported</t>
        </is>
      </c>
      <c r="K14" t="inlineStr">
        <is>
          <t>8-K 2026-08-05 (LATEST)</t>
        </is>
      </c>
    </row>
    <row r="15">
      <c r="A15" t="inlineStr">
        <is>
          <t>Canva</t>
        </is>
      </c>
      <c r="B15" t="inlineStr">
        <is>
          <t>ARR</t>
        </is>
      </c>
      <c r="C15" t="inlineStr">
        <is>
          <t>CY2023</t>
        </is>
      </c>
      <c r="D15" t="inlineStr">
        <is>
          <t>2023-12-31</t>
        </is>
      </c>
      <c r="E15" s="4" t="n">
        <v>1700</v>
      </c>
      <c r="F15" s="4" t="n"/>
      <c r="J15" t="inlineStr">
        <is>
          <t>ESTIMATE (Sacra)</t>
        </is>
      </c>
      <c r="K15" t="inlineStr">
        <is>
          <t>private company</t>
        </is>
      </c>
    </row>
    <row r="16">
      <c r="A16" t="inlineStr">
        <is>
          <t>Canva</t>
        </is>
      </c>
      <c r="B16" t="inlineStr">
        <is>
          <t>ARR</t>
        </is>
      </c>
      <c r="C16" t="inlineStr">
        <is>
          <t>CY2024</t>
        </is>
      </c>
      <c r="D16" t="inlineStr">
        <is>
          <t>2024-12-31</t>
        </is>
      </c>
      <c r="E16" s="4" t="n">
        <v>2800</v>
      </c>
      <c r="F16" s="4" t="n">
        <v>1700</v>
      </c>
      <c r="G16" s="8">
        <f>E16/F16-1</f>
        <v/>
      </c>
      <c r="H16">
        <f>E16-F16</f>
        <v/>
      </c>
      <c r="I16">
        <f>H16*1</f>
        <v/>
      </c>
      <c r="J16" t="inlineStr">
        <is>
          <t>ESTIMATE (Sacra)</t>
        </is>
      </c>
      <c r="K16" t="inlineStr">
        <is>
          <t>company-stated figures in H2-2024 were $2.3-2.55B so 2024 growth is uncertain (roughly 35-65%)</t>
        </is>
      </c>
    </row>
    <row r="17">
      <c r="A17" t="inlineStr">
        <is>
          <t>Canva</t>
        </is>
      </c>
      <c r="B17" t="inlineStr">
        <is>
          <t>ARR</t>
        </is>
      </c>
      <c r="C17" t="inlineStr">
        <is>
          <t>CY2025</t>
        </is>
      </c>
      <c r="D17" t="inlineStr">
        <is>
          <t>2025-12-31</t>
        </is>
      </c>
      <c r="E17" s="4" t="n">
        <v>4000</v>
      </c>
      <c r="F17" s="4" t="n">
        <v>2800</v>
      </c>
      <c r="G17" s="8">
        <f>E17/F17-1</f>
        <v/>
      </c>
      <c r="H17">
        <f>E17-F17</f>
        <v/>
      </c>
      <c r="I17">
        <f>H17*1</f>
        <v/>
      </c>
      <c r="J17" t="inlineStr">
        <is>
          <t>company-stated end value; Sacra YoY</t>
        </is>
      </c>
      <c r="K17" t="inlineStr">
        <is>
          <t>$4B incl. ~$500M from &gt;25-seat business customers</t>
        </is>
      </c>
    </row>
    <row r="18">
      <c r="A18" t="inlineStr">
        <is>
          <t>Canva</t>
        </is>
      </c>
      <c r="B18" t="inlineStr">
        <is>
          <t>ARR 2-yr CAGR</t>
        </is>
      </c>
      <c r="C18" t="inlineStr">
        <is>
          <t>CY2023-CY2025</t>
        </is>
      </c>
      <c r="D18" t="inlineStr">
        <is>
          <t>2025-12-31</t>
        </is>
      </c>
      <c r="E18" s="4" t="n">
        <v>4000</v>
      </c>
      <c r="F18" s="4" t="n">
        <v>1700</v>
      </c>
      <c r="G18" s="8">
        <f>E18/F18-1</f>
        <v/>
      </c>
      <c r="H18">
        <f>E18-F18</f>
        <v/>
      </c>
      <c r="I18">
        <f>H18*1</f>
        <v/>
      </c>
      <c r="J18" t="inlineStr">
        <is>
          <t>mixed</t>
        </is>
      </c>
      <c r="K18" t="inlineStr">
        <is>
          <t>(4000/1700)^0.5 - 1</t>
        </is>
      </c>
    </row>
    <row r="19">
      <c r="A19" t="inlineStr">
        <is>
          <t>Canva</t>
        </is>
      </c>
      <c r="B19" t="inlineStr">
        <is>
          <t>revenue</t>
        </is>
      </c>
      <c r="C19" t="inlineStr">
        <is>
          <t>Q2 2026</t>
        </is>
      </c>
      <c r="D19" t="inlineStr">
        <is>
          <t>2026-06-30</t>
        </is>
      </c>
      <c r="E19" s="4" t="n">
        <v>921.9</v>
      </c>
      <c r="F19" s="4" t="n">
        <v>736.3</v>
      </c>
      <c r="G19" s="8">
        <f>E19/F19-1</f>
        <v/>
      </c>
      <c r="H19">
        <f>E19-F19</f>
        <v/>
      </c>
      <c r="I19">
        <f>H19*4</f>
        <v/>
      </c>
      <c r="J19" t="inlineStr">
        <is>
          <t>reported via press; prior derived</t>
        </is>
      </c>
      <c r="K19" t="inlineStr">
        <is>
          <t>prior = 921.9/1.252; Q2-2026 investor update as reported Aug 2026 (LATEST)</t>
        </is>
      </c>
    </row>
    <row r="20">
      <c r="A20" t="inlineStr">
        <is>
          <t>Canva</t>
        </is>
      </c>
      <c r="B20" t="inlineStr">
        <is>
          <t>revenue growth guide</t>
        </is>
      </c>
      <c r="C20" t="inlineStr">
        <is>
          <t>CY2026</t>
        </is>
      </c>
      <c r="D20" t="inlineStr">
        <is>
          <t>2026-12-31</t>
        </is>
      </c>
      <c r="E20" s="4" t="n"/>
      <c r="F20" s="4" t="n"/>
      <c r="G20" s="9" t="n">
        <v>0.2</v>
      </c>
      <c r="J20" t="inlineStr">
        <is>
          <t>guidance (reported)</t>
        </is>
      </c>
      <c r="K20" t="inlineStr">
        <is>
          <t>cut from 30% in Aug 2026 on AI serving costs</t>
        </is>
      </c>
    </row>
    <row r="21">
      <c r="A21" t="inlineStr">
        <is>
          <t>Midjourney</t>
        </is>
      </c>
      <c r="B21" t="inlineStr">
        <is>
          <t>revenue</t>
        </is>
      </c>
      <c r="C21" t="inlineStr">
        <is>
          <t>CY2024</t>
        </is>
      </c>
      <c r="D21" t="inlineStr">
        <is>
          <t>2024-12-31</t>
        </is>
      </c>
      <c r="E21" s="4" t="n">
        <v>300</v>
      </c>
      <c r="F21" s="4" t="n">
        <v>200</v>
      </c>
      <c r="G21" s="8">
        <f>E21/F21-1</f>
        <v/>
      </c>
      <c r="H21">
        <f>E21-F21</f>
        <v/>
      </c>
      <c r="I21">
        <f>H21*1</f>
        <v/>
      </c>
      <c r="J21" t="inlineStr">
        <is>
          <t>ESTIMATE (Sacra/GetLatka)</t>
        </is>
      </c>
      <c r="K21" t="n">
        <v/>
      </c>
    </row>
    <row r="22">
      <c r="A22" t="inlineStr">
        <is>
          <t>Midjourney</t>
        </is>
      </c>
      <c r="B22" t="inlineStr">
        <is>
          <t>revenue</t>
        </is>
      </c>
      <c r="C22" t="inlineStr">
        <is>
          <t>CY2025</t>
        </is>
      </c>
      <c r="D22" t="inlineStr">
        <is>
          <t>2025-12-31</t>
        </is>
      </c>
      <c r="E22" s="4" t="n">
        <v>500</v>
      </c>
      <c r="F22" s="4" t="n">
        <v>300</v>
      </c>
      <c r="G22" s="8">
        <f>E22/F22-1</f>
        <v/>
      </c>
      <c r="H22">
        <f>E22-F22</f>
        <v/>
      </c>
      <c r="I22">
        <f>H22*1</f>
        <v/>
      </c>
      <c r="J22" t="inlineStr">
        <is>
          <t>ESTIMATE (Sacra/GetLatka)</t>
        </is>
      </c>
      <c r="K22" t="n">
        <v/>
      </c>
    </row>
    <row r="23">
      <c r="A23" t="inlineStr">
        <is>
          <t>Adobe</t>
        </is>
      </c>
      <c r="B23" t="inlineStr">
        <is>
          <t>Digital Media revenue</t>
        </is>
      </c>
      <c r="C23" t="inlineStr">
        <is>
          <t>FY2023</t>
        </is>
      </c>
      <c r="D23" t="inlineStr">
        <is>
          <t>2023-12-01</t>
        </is>
      </c>
      <c r="E23" s="4" t="n">
        <v>14216</v>
      </c>
      <c r="F23" s="4" t="n"/>
      <c r="J23" t="inlineStr">
        <is>
          <t>reported</t>
        </is>
      </c>
      <c r="K23" t="inlineStr">
        <is>
          <t>8-K 2023-12-13</t>
        </is>
      </c>
    </row>
    <row r="24">
      <c r="A24" t="inlineStr">
        <is>
          <t>Adobe</t>
        </is>
      </c>
      <c r="B24" t="inlineStr">
        <is>
          <t>Digital Media revenue</t>
        </is>
      </c>
      <c r="C24" t="inlineStr">
        <is>
          <t>FY2024</t>
        </is>
      </c>
      <c r="D24" t="inlineStr">
        <is>
          <t>2024-11-29</t>
        </is>
      </c>
      <c r="E24" s="4" t="n">
        <v>15860</v>
      </c>
      <c r="F24" s="4" t="n">
        <v>14216</v>
      </c>
      <c r="G24" s="8">
        <f>E24/F24-1</f>
        <v/>
      </c>
      <c r="H24">
        <f>E24-F24</f>
        <v/>
      </c>
      <c r="I24">
        <f>H24*1</f>
        <v/>
      </c>
      <c r="J24" t="inlineStr">
        <is>
          <t>reported</t>
        </is>
      </c>
      <c r="K24" t="inlineStr">
        <is>
          <t>8-K 2024-12-11 (reported as 12%)</t>
        </is>
      </c>
    </row>
    <row r="25">
      <c r="A25" t="inlineStr">
        <is>
          <t>Adobe</t>
        </is>
      </c>
      <c r="B25" t="inlineStr">
        <is>
          <t>Digital Media revenue</t>
        </is>
      </c>
      <c r="C25" t="inlineStr">
        <is>
          <t>FY2025</t>
        </is>
      </c>
      <c r="D25" t="inlineStr">
        <is>
          <t>2025-11-28</t>
        </is>
      </c>
      <c r="E25" s="4" t="n">
        <v>17650</v>
      </c>
      <c r="F25" s="4" t="n">
        <v>15860</v>
      </c>
      <c r="G25" s="8">
        <f>E25/F25-1</f>
        <v/>
      </c>
      <c r="H25">
        <f>E25-F25</f>
        <v/>
      </c>
      <c r="I25">
        <f>H25*1</f>
        <v/>
      </c>
      <c r="J25" t="inlineStr">
        <is>
          <t>reported</t>
        </is>
      </c>
      <c r="K25" t="inlineStr">
        <is>
          <t>8-K 2025-12-10 (reported as 11%)</t>
        </is>
      </c>
    </row>
    <row r="26">
      <c r="A26" t="inlineStr">
        <is>
          <t>Adobe</t>
        </is>
      </c>
      <c r="B26" t="inlineStr">
        <is>
          <t>Creative revenue</t>
        </is>
      </c>
      <c r="C26" t="inlineStr">
        <is>
          <t>FY2023</t>
        </is>
      </c>
      <c r="D26" t="inlineStr">
        <is>
          <t>2023-12-01</t>
        </is>
      </c>
      <c r="E26" s="4" t="n">
        <v>11520</v>
      </c>
      <c r="F26" s="4" t="n"/>
      <c r="G26" s="9" t="n">
        <v>0.1</v>
      </c>
      <c r="J26" t="inlineStr">
        <is>
          <t>reported</t>
        </is>
      </c>
      <c r="K26" t="inlineStr">
        <is>
          <t>8-K 2023-12-13</t>
        </is>
      </c>
    </row>
    <row r="27">
      <c r="A27" t="inlineStr">
        <is>
          <t>Adobe</t>
        </is>
      </c>
      <c r="B27" t="inlineStr">
        <is>
          <t>Creative revenue</t>
        </is>
      </c>
      <c r="C27" t="inlineStr">
        <is>
          <t>FY2024</t>
        </is>
      </c>
      <c r="D27" t="inlineStr">
        <is>
          <t>2024-11-29</t>
        </is>
      </c>
      <c r="E27" s="4" t="n">
        <v>12680</v>
      </c>
      <c r="F27" s="4" t="n">
        <v>11520</v>
      </c>
      <c r="G27" s="8">
        <f>E27/F27-1</f>
        <v/>
      </c>
      <c r="H27">
        <f>E27-F27</f>
        <v/>
      </c>
      <c r="I27">
        <f>H27*1</f>
        <v/>
      </c>
      <c r="J27" t="inlineStr">
        <is>
          <t>derived (DM minus DC)</t>
        </is>
      </c>
      <c r="K27" t="inlineStr">
        <is>
          <t>Q4 FY24 Creative $3.30B +10%</t>
        </is>
      </c>
    </row>
    <row r="28">
      <c r="A28" t="inlineStr">
        <is>
          <t>Adobe</t>
        </is>
      </c>
      <c r="B28" t="inlineStr">
        <is>
          <t>Creative revenue</t>
        </is>
      </c>
      <c r="C28" t="inlineStr">
        <is>
          <t>FY2025</t>
        </is>
      </c>
      <c r="D28" t="inlineStr">
        <is>
          <t>2025-11-28</t>
        </is>
      </c>
      <c r="E28" s="4" t="n"/>
      <c r="F28" s="4" t="n"/>
      <c r="J28" t="inlineStr">
        <is>
          <t>UNAVAILABLE</t>
        </is>
      </c>
      <c r="K28" t="inlineStr">
        <is>
          <t>Adobe no longer discloses Creative vs Document Cloud revenue split (customer-group reporting from FY25)</t>
        </is>
      </c>
    </row>
    <row r="29">
      <c r="A29" t="inlineStr">
        <is>
          <t>Adobe</t>
        </is>
      </c>
      <c r="B29" t="inlineStr">
        <is>
          <t>Document Cloud revenue</t>
        </is>
      </c>
      <c r="C29" t="inlineStr">
        <is>
          <t>FY2023</t>
        </is>
      </c>
      <c r="D29" t="inlineStr">
        <is>
          <t>2023-12-01</t>
        </is>
      </c>
      <c r="E29" s="4" t="n">
        <v>2700</v>
      </c>
      <c r="F29" s="4" t="n"/>
      <c r="G29" s="9" t="n">
        <v>0.13</v>
      </c>
      <c r="J29" t="inlineStr">
        <is>
          <t>reported</t>
        </is>
      </c>
      <c r="K29" t="inlineStr">
        <is>
          <t>8-K 2023-12-13</t>
        </is>
      </c>
    </row>
    <row r="30">
      <c r="A30" t="inlineStr">
        <is>
          <t>Adobe</t>
        </is>
      </c>
      <c r="B30" t="inlineStr">
        <is>
          <t>Document Cloud revenue</t>
        </is>
      </c>
      <c r="C30" t="inlineStr">
        <is>
          <t>FY2024</t>
        </is>
      </c>
      <c r="D30" t="inlineStr">
        <is>
          <t>2024-11-29</t>
        </is>
      </c>
      <c r="E30" s="4" t="n">
        <v>3180</v>
      </c>
      <c r="F30" s="4" t="n">
        <v>2700</v>
      </c>
      <c r="G30" s="8">
        <f>E30/F30-1</f>
        <v/>
      </c>
      <c r="H30">
        <f>E30-F30</f>
        <v/>
      </c>
      <c r="I30">
        <f>H30*1</f>
        <v/>
      </c>
      <c r="J30" t="inlineStr">
        <is>
          <t>reported</t>
        </is>
      </c>
      <c r="K30" t="inlineStr">
        <is>
          <t>8-K 2024-12-11 (reported as 18%)</t>
        </is>
      </c>
    </row>
    <row r="31">
      <c r="A31" t="inlineStr">
        <is>
          <t>Adobe</t>
        </is>
      </c>
      <c r="B31" t="inlineStr">
        <is>
          <t>Document Cloud revenue</t>
        </is>
      </c>
      <c r="C31" t="inlineStr">
        <is>
          <t>FY2025</t>
        </is>
      </c>
      <c r="D31" t="inlineStr">
        <is>
          <t>2025-11-28</t>
        </is>
      </c>
      <c r="E31" s="4" t="n"/>
      <c r="F31" s="4" t="n"/>
      <c r="J31" t="inlineStr">
        <is>
          <t>UNAVAILABLE</t>
        </is>
      </c>
      <c r="K31" t="inlineStr">
        <is>
          <t>see Creative FY2025 note</t>
        </is>
      </c>
    </row>
    <row r="32">
      <c r="A32" t="inlineStr">
        <is>
          <t>Adobe</t>
        </is>
      </c>
      <c r="B32" t="inlineStr">
        <is>
          <t>total revenue</t>
        </is>
      </c>
      <c r="C32" t="inlineStr">
        <is>
          <t>FY2023</t>
        </is>
      </c>
      <c r="D32" t="inlineStr">
        <is>
          <t>2023-12-01</t>
        </is>
      </c>
      <c r="E32" s="4" t="n">
        <v>19410</v>
      </c>
      <c r="F32" s="4" t="n"/>
      <c r="J32" t="inlineStr">
        <is>
          <t>reported</t>
        </is>
      </c>
      <c r="K32" t="n">
        <v/>
      </c>
    </row>
    <row r="33">
      <c r="A33" t="inlineStr">
        <is>
          <t>Adobe</t>
        </is>
      </c>
      <c r="B33" t="inlineStr">
        <is>
          <t>total revenue</t>
        </is>
      </c>
      <c r="C33" t="inlineStr">
        <is>
          <t>FY2024</t>
        </is>
      </c>
      <c r="D33" t="inlineStr">
        <is>
          <t>2024-11-29</t>
        </is>
      </c>
      <c r="E33" s="4" t="n">
        <v>21510</v>
      </c>
      <c r="F33" s="4" t="n">
        <v>19410</v>
      </c>
      <c r="G33" s="8">
        <f>E33/F33-1</f>
        <v/>
      </c>
      <c r="H33">
        <f>E33-F33</f>
        <v/>
      </c>
      <c r="I33">
        <f>H33*1</f>
        <v/>
      </c>
      <c r="J33" t="inlineStr">
        <is>
          <t>reported</t>
        </is>
      </c>
      <c r="K33" t="inlineStr">
        <is>
          <t>reported as 11%</t>
        </is>
      </c>
    </row>
    <row r="34">
      <c r="A34" t="inlineStr">
        <is>
          <t>Adobe</t>
        </is>
      </c>
      <c r="B34" t="inlineStr">
        <is>
          <t>total revenue</t>
        </is>
      </c>
      <c r="C34" t="inlineStr">
        <is>
          <t>FY2025</t>
        </is>
      </c>
      <c r="D34" t="inlineStr">
        <is>
          <t>2025-11-28</t>
        </is>
      </c>
      <c r="E34" s="4" t="n">
        <v>23770</v>
      </c>
      <c r="F34" s="4" t="n">
        <v>21510</v>
      </c>
      <c r="G34" s="8">
        <f>E34/F34-1</f>
        <v/>
      </c>
      <c r="H34">
        <f>E34-F34</f>
        <v/>
      </c>
      <c r="I34">
        <f>H34*1</f>
        <v/>
      </c>
      <c r="J34" t="inlineStr">
        <is>
          <t>reported</t>
        </is>
      </c>
      <c r="K34" t="inlineStr">
        <is>
          <t>reported as 11%</t>
        </is>
      </c>
    </row>
    <row r="35">
      <c r="A35" t="inlineStr">
        <is>
          <t>Adobe</t>
        </is>
      </c>
      <c r="B35" t="inlineStr">
        <is>
          <t>total revenue guide (midpoint)</t>
        </is>
      </c>
      <c r="C35" t="inlineStr">
        <is>
          <t>FY2026</t>
        </is>
      </c>
      <c r="D35" t="inlineStr">
        <is>
          <t>2026-11-27</t>
        </is>
      </c>
      <c r="E35" s="4" t="n">
        <v>26000</v>
      </c>
      <c r="F35" s="4" t="n">
        <v>23770</v>
      </c>
      <c r="G35" s="8">
        <f>E35/F35-1</f>
        <v/>
      </c>
      <c r="H35">
        <f>E35-F35</f>
        <v/>
      </c>
      <c r="I35">
        <f>H35*1</f>
        <v/>
      </c>
      <c r="J35" t="inlineStr">
        <is>
          <t>guidance</t>
        </is>
      </c>
      <c r="K35" t="inlineStr">
        <is>
          <t>$25.9-26.1B given 2025-12-10</t>
        </is>
      </c>
    </row>
    <row r="36">
      <c r="A36" t="inlineStr">
        <is>
          <t>Adobe</t>
        </is>
      </c>
      <c r="B36" t="inlineStr">
        <is>
          <t>C&amp;MP subscription revenue</t>
        </is>
      </c>
      <c r="C36" t="inlineStr">
        <is>
          <t>FY2025</t>
        </is>
      </c>
      <c r="D36" t="inlineStr">
        <is>
          <t>2025-11-28</t>
        </is>
      </c>
      <c r="E36" s="4" t="n"/>
      <c r="F36" s="4" t="n"/>
      <c r="J36" t="inlineStr">
        <is>
          <t>UNAVAILABLE</t>
        </is>
      </c>
      <c r="K36" t="inlineStr">
        <is>
          <t>full-year FY25 customer-group totals not surfaced by WebSearch; Q4 FY25 quarter used instead</t>
        </is>
      </c>
    </row>
    <row r="37">
      <c r="A37" t="inlineStr">
        <is>
          <t>Adobe</t>
        </is>
      </c>
      <c r="B37" t="inlineStr">
        <is>
          <t>C&amp;MP subscription revenue</t>
        </is>
      </c>
      <c r="C37" t="inlineStr">
        <is>
          <t>Q4 FY2025</t>
        </is>
      </c>
      <c r="D37" t="inlineStr">
        <is>
          <t>2025-11-28</t>
        </is>
      </c>
      <c r="E37" s="4" t="n">
        <v>4250</v>
      </c>
      <c r="F37" s="4" t="n"/>
      <c r="G37" s="9" t="n">
        <v>0.11</v>
      </c>
      <c r="J37" t="inlineStr">
        <is>
          <t>reported</t>
        </is>
      </c>
      <c r="K37" t="inlineStr">
        <is>
          <t>8-K 2025-12-10</t>
        </is>
      </c>
    </row>
    <row r="38">
      <c r="A38" t="inlineStr">
        <is>
          <t>Adobe</t>
        </is>
      </c>
      <c r="B38" t="inlineStr">
        <is>
          <t>BP&amp;C subscription revenue</t>
        </is>
      </c>
      <c r="C38" t="inlineStr">
        <is>
          <t>Q4 FY2025</t>
        </is>
      </c>
      <c r="D38" t="inlineStr">
        <is>
          <t>2025-11-28</t>
        </is>
      </c>
      <c r="E38" s="4" t="n">
        <v>1700</v>
      </c>
      <c r="F38" s="4" t="n"/>
      <c r="G38" s="9" t="n">
        <v>0.15</v>
      </c>
      <c r="J38" t="inlineStr">
        <is>
          <t>reported</t>
        </is>
      </c>
      <c r="K38" t="inlineStr">
        <is>
          <t>8-K 2025-12-10</t>
        </is>
      </c>
    </row>
    <row r="39">
      <c r="A39" t="inlineStr">
        <is>
          <t>Adobe</t>
        </is>
      </c>
      <c r="B39" t="inlineStr">
        <is>
          <t>C&amp;MP subscription revenue</t>
        </is>
      </c>
      <c r="C39" t="inlineStr">
        <is>
          <t>Q3 FY2026</t>
        </is>
      </c>
      <c r="D39" t="inlineStr">
        <is>
          <t>2026-08-28</t>
        </is>
      </c>
      <c r="E39" s="4" t="n">
        <v>4651</v>
      </c>
      <c r="F39" s="4" t="n">
        <v>4117</v>
      </c>
      <c r="G39" s="8">
        <f>E39/F39-1</f>
        <v/>
      </c>
      <c r="H39">
        <f>E39-F39</f>
        <v/>
      </c>
      <c r="I39">
        <f>H39*4</f>
        <v/>
      </c>
      <c r="J39" t="inlineStr">
        <is>
          <t>reported (10-Q)</t>
        </is>
      </c>
      <c r="K39" t="inlineStr">
        <is>
          <t>orchestrator starting facts; +12% cc (LATEST)</t>
        </is>
      </c>
    </row>
    <row r="40">
      <c r="A40" t="inlineStr">
        <is>
          <t>Adobe</t>
        </is>
      </c>
      <c r="B40" t="inlineStr">
        <is>
          <t>BP&amp;C subscription revenue</t>
        </is>
      </c>
      <c r="C40" t="inlineStr">
        <is>
          <t>Q3 FY2026</t>
        </is>
      </c>
      <c r="D40" t="inlineStr">
        <is>
          <t>2026-08-28</t>
        </is>
      </c>
      <c r="E40" s="4" t="n">
        <v>1905</v>
      </c>
      <c r="F40" s="4" t="n">
        <v>1648</v>
      </c>
      <c r="G40" s="8">
        <f>E40/F40-1</f>
        <v/>
      </c>
      <c r="H40">
        <f>E40-F40</f>
        <v/>
      </c>
      <c r="I40">
        <f>H40*4</f>
        <v/>
      </c>
      <c r="J40" t="inlineStr">
        <is>
          <t>reported (10-Q)</t>
        </is>
      </c>
      <c r="K40" t="inlineStr">
        <is>
          <t>orchestrator starting facts; +15% cc (LATEST)</t>
        </is>
      </c>
    </row>
    <row r="41">
      <c r="A41" t="inlineStr">
        <is>
          <t>Adobe</t>
        </is>
      </c>
      <c r="B41" t="inlineStr">
        <is>
          <t>total revenue</t>
        </is>
      </c>
      <c r="C41" t="inlineStr">
        <is>
          <t>Q3 FY2026</t>
        </is>
      </c>
      <c r="D41" t="inlineStr">
        <is>
          <t>2026-08-28</t>
        </is>
      </c>
      <c r="E41" s="4" t="n">
        <v>6760</v>
      </c>
      <c r="F41" s="4" t="n">
        <v>5988</v>
      </c>
      <c r="G41" s="8">
        <f>E41/F41-1</f>
        <v/>
      </c>
      <c r="H41">
        <f>E41-F41</f>
        <v/>
      </c>
      <c r="I41">
        <f>H41*4</f>
        <v/>
      </c>
      <c r="J41" t="inlineStr">
        <is>
          <t>reported (10-Q)</t>
        </is>
      </c>
      <c r="K41" t="inlineStr">
        <is>
          <t>prior derived = 6760/1.129 (LATEST)</t>
        </is>
      </c>
    </row>
    <row r="42">
      <c r="A42" t="inlineStr">
        <is>
          <t>Adobe</t>
        </is>
      </c>
      <c r="B42" t="inlineStr">
        <is>
          <t>total ending ARR</t>
        </is>
      </c>
      <c r="C42" t="inlineStr">
        <is>
          <t>Q3 FY2026</t>
        </is>
      </c>
      <c r="D42" t="inlineStr">
        <is>
          <t>2026-08-28</t>
        </is>
      </c>
      <c r="E42" s="4" t="n">
        <v>27500</v>
      </c>
      <c r="F42" s="4" t="n">
        <v>24730</v>
      </c>
      <c r="G42" s="8">
        <f>E42/F42-1</f>
        <v/>
      </c>
      <c r="H42">
        <f>E42-F42</f>
        <v/>
      </c>
      <c r="I42">
        <f>H42*4</f>
        <v/>
      </c>
      <c r="J42" t="inlineStr">
        <is>
          <t>reported (10-Q)</t>
        </is>
      </c>
      <c r="K42" t="inlineStr">
        <is>
          <t>prior derived = 27500/1.112; FY26 ARR definition includes Experience Cloud + Semrush</t>
        </is>
      </c>
    </row>
    <row r="43">
      <c r="A43" t="inlineStr">
        <is>
          <t>Adobe</t>
        </is>
      </c>
      <c r="B43" t="inlineStr">
        <is>
          <t>C&amp;MP subscription revenue guide (midpoint)</t>
        </is>
      </c>
      <c r="C43" t="inlineStr">
        <is>
          <t>FY2026</t>
        </is>
      </c>
      <c r="D43" t="inlineStr">
        <is>
          <t>2026-11-27</t>
        </is>
      </c>
      <c r="E43" s="4" t="n">
        <v>18257</v>
      </c>
      <c r="F43" s="4" t="n"/>
      <c r="J43" t="inlineStr">
        <is>
          <t>guidance</t>
        </is>
      </c>
      <c r="K43" t="inlineStr">
        <is>
          <t>$18.242-18.272B</t>
        </is>
      </c>
    </row>
    <row r="44">
      <c r="A44" t="inlineStr">
        <is>
          <t>Adobe</t>
        </is>
      </c>
      <c r="B44" t="inlineStr">
        <is>
          <t>BP&amp;C subscription revenue guide (midpoint)</t>
        </is>
      </c>
      <c r="C44" t="inlineStr">
        <is>
          <t>FY2026</t>
        </is>
      </c>
      <c r="D44" t="inlineStr">
        <is>
          <t>2026-11-27</t>
        </is>
      </c>
      <c r="E44" s="4" t="n">
        <v>7480</v>
      </c>
      <c r="F44" s="4" t="n"/>
      <c r="J44" t="inlineStr">
        <is>
          <t>guidance</t>
        </is>
      </c>
      <c r="K44" t="inlineStr">
        <is>
          <t>$7.47-7.49B</t>
        </is>
      </c>
    </row>
    <row r="45"/>
    <row r="46">
      <c r="A46" s="1" t="inlineStr">
        <is>
          <t>Share-of-pool calc (latest annualized run-rates; formulas)</t>
        </is>
      </c>
    </row>
    <row r="47">
      <c r="A47" s="3" t="inlineStr">
        <is>
          <t>entity</t>
        </is>
      </c>
      <c r="B47" s="3" t="inlineStr">
        <is>
          <t>run_rate_musd (latest quarter x4 / ARR)</t>
        </is>
      </c>
      <c r="C47" s="3" t="inlineStr">
        <is>
          <t>annualized_increment_musd</t>
        </is>
      </c>
      <c r="D47" s="3" t="inlineStr">
        <is>
          <t>share_of_stock</t>
        </is>
      </c>
      <c r="E47" s="3" t="inlineStr">
        <is>
          <t>share_of_increment</t>
        </is>
      </c>
    </row>
    <row r="48">
      <c r="A48" t="inlineStr">
        <is>
          <t>Adobe C&amp;MP (Q3 FY26 x4)</t>
        </is>
      </c>
      <c r="B48" s="4" t="n">
        <v>18604</v>
      </c>
      <c r="C48" s="4" t="n">
        <v>2136</v>
      </c>
      <c r="D48" s="8">
        <f>B48/SUM($B$48:$B$50)</f>
        <v/>
      </c>
      <c r="E48" s="8">
        <f>C48/SUM($C$48:$C$50)</f>
        <v/>
      </c>
    </row>
    <row r="49">
      <c r="A49" t="inlineStr">
        <is>
          <t>Figma (Q2'26 x4)</t>
        </is>
      </c>
      <c r="B49" s="4" t="n">
        <v>1480.4</v>
      </c>
      <c r="C49" s="4" t="n">
        <v>482</v>
      </c>
      <c r="D49" s="8">
        <f>B49/SUM($B$48:$B$50)</f>
        <v/>
      </c>
      <c r="E49" s="8">
        <f>C49/SUM($C$48:$C$50)</f>
        <v/>
      </c>
    </row>
    <row r="50">
      <c r="A50" t="inlineStr">
        <is>
          <t>Canva (Q2'26 revenue x4)</t>
        </is>
      </c>
      <c r="B50" s="4" t="n">
        <v>3687.6</v>
      </c>
      <c r="C50" s="4" t="n">
        <v>742.4</v>
      </c>
      <c r="D50" s="8">
        <f>B50/SUM($B$48:$B$50)</f>
        <v/>
      </c>
      <c r="E50" s="8">
        <f>C50/SUM($C$48:$C$50)</f>
        <v/>
      </c>
    </row>
    <row r="51">
      <c r="A51" t="inlineStr">
        <is>
          <t>Pool total</t>
        </is>
      </c>
      <c r="B51">
        <f>SUM(B48:B50)</f>
        <v/>
      </c>
      <c r="C51">
        <f>SUM(C48:C50)</f>
        <v/>
      </c>
    </row>
    <row r="52">
      <c r="A52" t="inlineStr">
        <is>
          <t>Pool growth (increment / (stock - increment))</t>
        </is>
      </c>
      <c r="B52" s="8">
        <f>C51/(B51-C51)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Triangulation matrix: rows = contentions C1-C4 + concessions; columns = source types. Cell = mark + one-line finding + source number (see research/tri/sources_numbered.md).</t>
        </is>
      </c>
    </row>
    <row r="3">
      <c r="A3" s="2" t="inlineStr">
        <is>
          <t>PENDING: research/tri/triangulation_matrix.csv not yet written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4" customWidth="1" min="3" max="3"/>
    <col width="60" customWidth="1" min="4" max="4"/>
    <col width="16" customWidth="1" min="5" max="5"/>
    <col width="20" customWidth="1" min="6" max="6"/>
    <col width="32" customWidth="1" min="7" max="7"/>
    <col width="51" customWidth="1" min="8" max="8"/>
    <col width="60" customWidth="1" min="9" max="9"/>
  </cols>
  <sheetData>
    <row r="1">
      <c r="A1" s="1" t="inlineStr">
        <is>
          <t>ARR -&gt; EPS bridge (blue = input assumption; black = formula). Each contention's EPS translation references the constant in B8.</t>
        </is>
      </c>
    </row>
    <row r="2">
      <c r="A2" s="2" t="inlineStr">
        <is>
          <t>Constant: EPS per $100M ARR = 100 x incremental operating margin x (1 - non-GAAP tax rate) / diluted shares. Inputs sourced in Inputs tab / Sources tab.</t>
        </is>
      </c>
    </row>
    <row r="3"/>
    <row r="4">
      <c r="A4" s="3" t="inlineStr">
        <is>
          <t>Input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Source / note</t>
        </is>
      </c>
    </row>
    <row r="5">
      <c r="A5" t="inlineStr">
        <is>
          <t>Incremental ARR block (USD M)</t>
        </is>
      </c>
      <c r="B5" s="4" t="n">
        <v>100</v>
      </c>
      <c r="C5" t="inlineStr">
        <is>
          <t>USD M</t>
        </is>
      </c>
      <c r="D5" t="inlineStr">
        <is>
          <t>convention</t>
        </is>
      </c>
    </row>
    <row r="6">
      <c r="A6" t="inlineStr">
        <is>
          <t>Incremental non-GAAP operating margin on new ARR</t>
        </is>
      </c>
      <c r="B6" s="4" t="n">
        <v>0.45</v>
      </c>
      <c r="C6" t="inlineStr">
        <is>
          <t>ratio</t>
        </is>
      </c>
      <c r="D6" t="inlineStr">
        <is>
          <t>Adobe FY26 target non-GAAP operating margin ~45.0% (Q3 FY26 8-K Ex.99.1, verified 2026-10-02); incremental assumed at run-rate margin; see 35% low case</t>
        </is>
      </c>
    </row>
    <row r="7">
      <c r="A7" t="inlineStr">
        <is>
          <t>Non-GAAP tax rate</t>
        </is>
      </c>
      <c r="B7" s="4" t="n">
        <v>0.18</v>
      </c>
      <c r="C7" t="inlineStr">
        <is>
          <t>ratio</t>
        </is>
      </c>
      <c r="D7" t="inlineStr">
        <is>
          <t>Adobe FY26 target non-GAAP tax rate ~18.0% (Q3 FY26 8-K Ex.99.1, verified 2026-10-02)</t>
        </is>
      </c>
    </row>
    <row r="8">
      <c r="A8" t="inlineStr">
        <is>
          <t>Diluted shares (M)</t>
        </is>
      </c>
      <c r="B8" s="4" t="n">
        <v>389</v>
      </c>
      <c r="C8" t="inlineStr">
        <is>
          <t>M</t>
        </is>
      </c>
      <c r="D8" t="inlineStr">
        <is>
          <t>Q4 FY26 target diluted share count ~389M (Q3 FY26 8-K Ex.99.1, verified 2026-10-02); FY26 full-year ~400M</t>
        </is>
      </c>
    </row>
    <row r="9">
      <c r="A9" t="inlineStr">
        <is>
          <t>Low-case incremental margin</t>
        </is>
      </c>
      <c r="B9" s="4" t="n">
        <v>0.35</v>
      </c>
      <c r="C9" t="inlineStr">
        <is>
          <t>ratio</t>
        </is>
      </c>
      <c r="D9" t="inlineStr">
        <is>
          <t>sensitivity</t>
        </is>
      </c>
    </row>
    <row r="10">
      <c r="A10" s="1" t="inlineStr">
        <is>
          <t>EPS per $100M ARR (base)</t>
        </is>
      </c>
      <c r="B10" s="12">
        <f>B5*B6*(1-B7)/B8</f>
        <v/>
      </c>
    </row>
    <row r="11">
      <c r="A11" s="1" t="inlineStr">
        <is>
          <t>EPS per $100M ARR (low-case margin)</t>
        </is>
      </c>
      <c r="B11" s="12">
        <f>B5*B9*(1-B7)/B8</f>
        <v/>
      </c>
    </row>
    <row r="12"/>
    <row r="13">
      <c r="A13" s="1" t="inlineStr">
        <is>
          <t>Contention / concession EPS translations (ARR inputs in blue from research/tri/eps_translations.csv; EPS = ARR/100 x constant)</t>
        </is>
      </c>
    </row>
    <row r="14">
      <c r="A14" s="3" t="inlineStr">
        <is>
          <t>id</t>
        </is>
      </c>
      <c r="B14" s="3" t="inlineStr">
        <is>
          <t>item</t>
        </is>
      </c>
      <c r="C14" s="3" t="inlineStr">
        <is>
          <t>scenario</t>
        </is>
      </c>
      <c r="D14" s="3" t="inlineStr">
        <is>
          <t>arr_delta_musd</t>
        </is>
      </c>
      <c r="E14" s="3" t="inlineStr">
        <is>
          <t>eps_base (f)</t>
        </is>
      </c>
      <c r="F14" s="3" t="inlineStr">
        <is>
          <t>eps_low_margin (f)</t>
        </is>
      </c>
      <c r="G14" s="3" t="inlineStr">
        <is>
          <t>as_%_of_FY27_consensus_EPS (f)</t>
        </is>
      </c>
      <c r="H14" s="3" t="inlineStr">
        <is>
          <t>source_ref</t>
        </is>
      </c>
      <c r="I14" s="3" t="inlineStr">
        <is>
          <t>note</t>
        </is>
      </c>
    </row>
    <row r="15">
      <c r="A15" t="inlineStr">
        <is>
          <t>FY27 consensus EPS (FactSet via prior research; VERIFY)</t>
        </is>
      </c>
      <c r="D15" s="4" t="n">
        <v>27.5</v>
      </c>
    </row>
    <row r="16">
      <c r="A16" t="inlineStr">
        <is>
          <t>C1-a</t>
        </is>
      </c>
      <c r="B16" t="inlineStr">
        <is>
          <t>Individual Creative Cloud tier (base $6.25B = 23% of ARR) shrinks</t>
        </is>
      </c>
      <c r="C16" t="inlineStr">
        <is>
          <t>-5%/yr</t>
        </is>
      </c>
      <c r="D16" s="4" t="n">
        <v>-313</v>
      </c>
      <c r="E16" s="6">
        <f>D16/100*$B$10</f>
        <v/>
      </c>
      <c r="F16" s="6">
        <f>D16/100*$B$11</f>
        <v/>
      </c>
      <c r="G16" s="8">
        <f>E16/$D$15</f>
        <v/>
      </c>
      <c r="H16" t="inlineStr">
        <is>
          <t>c1_mix/data/eps_at_risk.csv</t>
        </is>
      </c>
      <c r="I16" t="inlineStr">
        <is>
          <t>base case individual = 50% of Creative ARR; Adobe does not disclose the split</t>
        </is>
      </c>
    </row>
    <row r="17">
      <c r="A17" t="inlineStr">
        <is>
          <t>C1-b</t>
        </is>
      </c>
      <c r="B17" t="inlineStr">
        <is>
          <t>Individual Creative Cloud tier shrinks</t>
        </is>
      </c>
      <c r="C17" t="inlineStr">
        <is>
          <t>-10%/yr</t>
        </is>
      </c>
      <c r="D17" s="4" t="n">
        <v>-625</v>
      </c>
      <c r="E17" s="6">
        <f>D17/100*$B$10</f>
        <v/>
      </c>
      <c r="F17" s="6">
        <f>D17/100*$B$11</f>
        <v/>
      </c>
      <c r="G17" s="8">
        <f>E17/$D$15</f>
        <v/>
      </c>
      <c r="H17" t="inlineStr">
        <is>
          <t>c1_mix/data/eps_at_risk.csv</t>
        </is>
      </c>
      <c r="I17" t="n">
        <v/>
      </c>
    </row>
    <row r="18">
      <c r="A18" t="inlineStr">
        <is>
          <t>C1-c</t>
        </is>
      </c>
      <c r="B18" t="inlineStr">
        <is>
          <t>Individual Creative Cloud tier shrinks</t>
        </is>
      </c>
      <c r="C18" t="inlineStr">
        <is>
          <t>-20%/yr</t>
        </is>
      </c>
      <c r="D18" s="4" t="n">
        <v>-1250</v>
      </c>
      <c r="E18" s="6">
        <f>D18/100*$B$10</f>
        <v/>
      </c>
      <c r="F18" s="6">
        <f>D18/100*$B$11</f>
        <v/>
      </c>
      <c r="G18" s="8">
        <f>E18/$D$15</f>
        <v/>
      </c>
      <c r="H18" t="inlineStr">
        <is>
          <t>c1_mix/data/eps_at_risk.csv</t>
        </is>
      </c>
      <c r="I18" t="n">
        <v/>
      </c>
    </row>
    <row r="19">
      <c r="A19" t="inlineStr">
        <is>
          <t>C1-d</t>
        </is>
      </c>
      <c r="B19" t="inlineStr">
        <is>
          <t>Individual tier at 60% of Creative ARR ($7.5B) shrinks</t>
        </is>
      </c>
      <c r="C19" t="inlineStr">
        <is>
          <t>-10%/yr</t>
        </is>
      </c>
      <c r="D19" s="4" t="n">
        <v>-750</v>
      </c>
      <c r="E19" s="6">
        <f>D19/100*$B$10</f>
        <v/>
      </c>
      <c r="F19" s="6">
        <f>D19/100*$B$11</f>
        <v/>
      </c>
      <c r="G19" s="8">
        <f>E19/$D$15</f>
        <v/>
      </c>
      <c r="H19" t="inlineStr">
        <is>
          <t>c1_mix/data/eps_at_risk.csv</t>
        </is>
      </c>
      <c r="I19" t="inlineStr">
        <is>
          <t>high-exposure sensitivity</t>
        </is>
      </c>
    </row>
    <row r="20">
      <c r="A20" t="inlineStr">
        <is>
          <t>C3-a</t>
        </is>
      </c>
      <c r="B20" t="inlineStr">
        <is>
          <t>Subscription gross margin -1pt on ~$25.8B FY26 subscription revenue (ARR-equivalent at 45% margin)</t>
        </is>
      </c>
      <c r="C20" t="inlineStr">
        <is>
          <t>-1pt GM</t>
        </is>
      </c>
      <c r="D20" s="4" t="n">
        <v>-573</v>
      </c>
      <c r="E20" s="6">
        <f>D20/100*$B$10</f>
        <v/>
      </c>
      <c r="F20" s="6">
        <f>D20/100*$B$11</f>
        <v/>
      </c>
      <c r="G20" s="8">
        <f>E20/$D$15</f>
        <v/>
      </c>
      <c r="H20" t="inlineStr">
        <is>
          <t>c3_economics/data/eps_ai_cost_sensitivity.csv</t>
        </is>
      </c>
      <c r="I20" t="inlineStr">
        <is>
          <t>-$258M operating income = -$0.54 EPS; entered as ARR-equivalent (-258/0.45) so the bridge constant applies</t>
        </is>
      </c>
    </row>
    <row r="21">
      <c r="A21" t="inlineStr">
        <is>
          <t>C3-b</t>
        </is>
      </c>
      <c r="B21" t="inlineStr">
        <is>
          <t>Observed Q3 FY26 subscription GM -0.81pt YoY annualised</t>
        </is>
      </c>
      <c r="C21" t="inlineStr">
        <is>
          <t>observed</t>
        </is>
      </c>
      <c r="D21" s="4" t="n">
        <v>-464</v>
      </c>
      <c r="E21" s="6">
        <f>D21/100*$B$10</f>
        <v/>
      </c>
      <c r="F21" s="6">
        <f>D21/100*$B$11</f>
        <v/>
      </c>
      <c r="G21" s="8">
        <f>E21/$D$15</f>
        <v/>
      </c>
      <c r="H21" t="inlineStr">
        <is>
          <t>c3_economics/data/eps_ai_cost_sensitivity.csv</t>
        </is>
      </c>
      <c r="I21" t="inlineStr">
        <is>
          <t>-$209M operating income = -$0.44 EPS</t>
        </is>
      </c>
    </row>
    <row r="22">
      <c r="A22" t="inlineStr">
        <is>
          <t>C3-c</t>
        </is>
      </c>
      <c r="B22" t="inlineStr">
        <is>
          <t>AI-first ARR net adds (Q3 FY25 &gt;$250M to Q3 FY26 &gt;$650M; lower bounds)</t>
        </is>
      </c>
      <c r="C22" t="inlineStr">
        <is>
          <t>+$400M/yr</t>
        </is>
      </c>
      <c r="D22" s="4" t="n">
        <v>400</v>
      </c>
      <c r="E22" s="6">
        <f>D22/100*$B$10</f>
        <v/>
      </c>
      <c r="F22" s="6">
        <f>D22/100*$B$11</f>
        <v/>
      </c>
      <c r="G22" s="8">
        <f>E22/$D$15</f>
        <v/>
      </c>
      <c r="H22" t="inlineStr">
        <is>
          <t>c3_economics/data/ai_first_arr_series.csv</t>
        </is>
      </c>
      <c r="I22" t="inlineStr">
        <is>
          <t>offsets ~0.7pt of subscription GM</t>
        </is>
      </c>
    </row>
    <row r="23">
      <c r="A23" t="inlineStr">
        <is>
          <t>C4-a</t>
        </is>
      </c>
      <c r="B23" t="inlineStr">
        <is>
          <t>Creative freemium MAU 100M -&gt; 150M at $8 AI-first ARR per incremental MAU (descriptive ratio)</t>
        </is>
      </c>
      <c r="C23" t="inlineStr">
        <is>
          <t>+50M MAU</t>
        </is>
      </c>
      <c r="D23" s="4" t="n">
        <v>400</v>
      </c>
      <c r="E23" s="6">
        <f>D23/100*$B$10</f>
        <v/>
      </c>
      <c r="F23" s="6">
        <f>D23/100*$B$11</f>
        <v/>
      </c>
      <c r="G23" s="8">
        <f>E23/$D$15</f>
        <v/>
      </c>
      <c r="H23" t="inlineStr">
        <is>
          <t>c4_users/data/mau_to_arr_ratio.csv</t>
        </is>
      </c>
      <c r="I23" t="inlineStr">
        <is>
          <t>ratio = (650-250)/(100-50); NOT causal</t>
        </is>
      </c>
    </row>
    <row r="24">
      <c r="A24" t="inlineStr">
        <is>
          <t>C4-b</t>
        </is>
      </c>
      <c r="B24" t="inlineStr">
        <is>
          <t>Creative freemium MAU 100M -&gt; 200M at $8/MAU</t>
        </is>
      </c>
      <c r="C24" t="inlineStr">
        <is>
          <t>+100M MAU</t>
        </is>
      </c>
      <c r="D24" s="4" t="n">
        <v>800</v>
      </c>
      <c r="E24" s="6">
        <f>D24/100*$B$10</f>
        <v/>
      </c>
      <c r="F24" s="6">
        <f>D24/100*$B$11</f>
        <v/>
      </c>
      <c r="G24" s="8">
        <f>E24/$D$15</f>
        <v/>
      </c>
      <c r="H24" t="inlineStr">
        <is>
          <t>c4_users/data/mau_to_arr_ratio.csv</t>
        </is>
      </c>
      <c r="I24" t="n">
        <v/>
      </c>
    </row>
    <row r="25">
      <c r="A25" t="inlineStr">
        <is>
          <t>CON-1a</t>
        </is>
      </c>
      <c r="B25" t="inlineStr">
        <is>
          <t>Seat compression: 3% of est. $8.5B teams/enterprise Creative Cloud ARR</t>
        </is>
      </c>
      <c r="C25" t="inlineStr">
        <is>
          <t>-3% seats</t>
        </is>
      </c>
      <c r="D25" s="4" t="n">
        <v>-255</v>
      </c>
      <c r="E25" s="6">
        <f>D25/100*$B$10</f>
        <v/>
      </c>
      <c r="F25" s="6">
        <f>D25/100*$B$11</f>
        <v/>
      </c>
      <c r="G25" s="8">
        <f>E25/$D$15</f>
        <v/>
      </c>
      <c r="H25" t="inlineStr">
        <is>
          <t>concessions/data/concessions_eps.csv</t>
        </is>
      </c>
      <c r="I25" t="inlineStr">
        <is>
          <t>basis ESTIMATE</t>
        </is>
      </c>
    </row>
    <row r="26">
      <c r="A26" t="inlineStr">
        <is>
          <t>CON-1b</t>
        </is>
      </c>
      <c r="B26" t="inlineStr">
        <is>
          <t>Seat compression: 5% of teams/enterprise Creative Cloud ARR</t>
        </is>
      </c>
      <c r="C26" t="inlineStr">
        <is>
          <t>-5% seats</t>
        </is>
      </c>
      <c r="D26" s="4" t="n">
        <v>-425</v>
      </c>
      <c r="E26" s="6">
        <f>D26/100*$B$10</f>
        <v/>
      </c>
      <c r="F26" s="6">
        <f>D26/100*$B$11</f>
        <v/>
      </c>
      <c r="G26" s="8">
        <f>E26/$D$15</f>
        <v/>
      </c>
      <c r="H26" t="inlineStr">
        <is>
          <t>concessions/data/concessions_eps.csv</t>
        </is>
      </c>
      <c r="I26" t="n">
        <v/>
      </c>
    </row>
    <row r="27">
      <c r="A27" t="inlineStr">
        <is>
          <t>CON-2a</t>
        </is>
      </c>
      <c r="B27" t="inlineStr">
        <is>
          <t>Adobe Stock erosion on ~$450M book</t>
        </is>
      </c>
      <c r="C27" t="inlineStr">
        <is>
          <t>-10%</t>
        </is>
      </c>
      <c r="D27" s="4" t="n">
        <v>-45</v>
      </c>
      <c r="E27" s="6">
        <f>D27/100*$B$10</f>
        <v/>
      </c>
      <c r="F27" s="6">
        <f>D27/100*$B$11</f>
        <v/>
      </c>
      <c r="G27" s="8">
        <f>E27/$D$15</f>
        <v/>
      </c>
      <c r="H27" t="inlineStr">
        <is>
          <t>concessions/data/concessions_eps.csv</t>
        </is>
      </c>
      <c r="I27" t="inlineStr">
        <is>
          <t>current implied decline only ~4%</t>
        </is>
      </c>
    </row>
    <row r="28">
      <c r="A28" t="inlineStr">
        <is>
          <t>CON-2b</t>
        </is>
      </c>
      <c r="B28" t="inlineStr">
        <is>
          <t>Adobe Stock erosion</t>
        </is>
      </c>
      <c r="C28" t="inlineStr">
        <is>
          <t>-20%</t>
        </is>
      </c>
      <c r="D28" s="4" t="n">
        <v>-90</v>
      </c>
      <c r="E28" s="6">
        <f>D28/100*$B$10</f>
        <v/>
      </c>
      <c r="F28" s="6">
        <f>D28/100*$B$11</f>
        <v/>
      </c>
      <c r="G28" s="8">
        <f>E28/$D$15</f>
        <v/>
      </c>
      <c r="H28" t="inlineStr">
        <is>
          <t>concessions/data/concessions_eps.csv</t>
        </is>
      </c>
      <c r="I28" t="inlineStr">
        <is>
          <t>Shutterstock content revenue -17% Q2 2026 as the peer analogue</t>
        </is>
      </c>
    </row>
    <row r="29">
      <c r="A29" t="inlineStr">
        <is>
          <t>CON-3a</t>
        </is>
      </c>
      <c r="B29" t="inlineStr">
        <is>
          <t>Individual-subscriber weakness: 3% of est. $7.0B individual CC ARR</t>
        </is>
      </c>
      <c r="C29" t="inlineStr">
        <is>
          <t>-3%</t>
        </is>
      </c>
      <c r="D29" s="4" t="n">
        <v>-210</v>
      </c>
      <c r="E29" s="6">
        <f>D29/100*$B$10</f>
        <v/>
      </c>
      <c r="F29" s="6">
        <f>D29/100*$B$11</f>
        <v/>
      </c>
      <c r="G29" s="8">
        <f>E29/$D$15</f>
        <v/>
      </c>
      <c r="H29" t="inlineStr">
        <is>
          <t>concessions/data/concessions_eps.csv</t>
        </is>
      </c>
      <c r="I29" t="n">
        <v/>
      </c>
    </row>
    <row r="30">
      <c r="A30" t="inlineStr">
        <is>
          <t>CON-3b</t>
        </is>
      </c>
      <c r="B30" t="inlineStr">
        <is>
          <t>Individual-subscriber weakness</t>
        </is>
      </c>
      <c r="C30" t="inlineStr">
        <is>
          <t>-5%</t>
        </is>
      </c>
      <c r="D30" s="4" t="n">
        <v>-350</v>
      </c>
      <c r="E30" s="6">
        <f>D30/100*$B$10</f>
        <v/>
      </c>
      <c r="F30" s="6">
        <f>D30/100*$B$11</f>
        <v/>
      </c>
      <c r="G30" s="8">
        <f>E30/$D$15</f>
        <v/>
      </c>
      <c r="H30" t="inlineStr">
        <is>
          <t>concessions/data/concessions_eps.csv</t>
        </is>
      </c>
      <c r="I30" t="n">
        <v/>
      </c>
    </row>
    <row r="31">
      <c r="A31" t="inlineStr">
        <is>
          <t>CON-3c</t>
        </is>
      </c>
      <c r="B31" t="inlineStr">
        <is>
          <t>Management-implied H2 FY26 organic net-new-ARR cut (10.2% target held while Semrush added ~$480M)</t>
        </is>
      </c>
      <c r="C31" t="inlineStr">
        <is>
          <t>mgmt-implied</t>
        </is>
      </c>
      <c r="D31" s="4" t="n">
        <v>-480</v>
      </c>
      <c r="E31" s="6">
        <f>D31/100*$B$10</f>
        <v/>
      </c>
      <c r="F31" s="6">
        <f>D31/100*$B$11</f>
        <v/>
      </c>
      <c r="G31" s="8">
        <f>E31/$D$15</f>
        <v/>
      </c>
      <c r="H31" t="inlineStr">
        <is>
          <t>concessions/data/individual_subscriber_quotes.csv</t>
        </is>
      </c>
      <c r="I31" t="n">
        <v/>
      </c>
    </row>
    <row r="32">
      <c r="A32" t="inlineStr">
        <is>
          <t>CON-sum-base</t>
        </is>
      </c>
      <c r="B32" t="inlineStr">
        <is>
          <t>All three concessions</t>
        </is>
      </c>
      <c r="C32" t="inlineStr">
        <is>
          <t>base sum</t>
        </is>
      </c>
      <c r="D32" s="4" t="n">
        <v>-510</v>
      </c>
      <c r="E32" s="6">
        <f>D32/100*$B$10</f>
        <v/>
      </c>
      <c r="F32" s="6">
        <f>D32/100*$B$11</f>
        <v/>
      </c>
      <c r="G32" s="8">
        <f>E32/$D$15</f>
        <v/>
      </c>
      <c r="H32" t="inlineStr">
        <is>
          <t>concessions/data/concessions_eps.csv</t>
        </is>
      </c>
      <c r="I32" t="inlineStr">
        <is>
          <t>3% seats + 10% Stock + 3% individual</t>
        </is>
      </c>
    </row>
    <row r="33">
      <c r="A33" t="inlineStr">
        <is>
          <t>CON-sum-bear</t>
        </is>
      </c>
      <c r="B33" t="inlineStr">
        <is>
          <t>All three concessions</t>
        </is>
      </c>
      <c r="C33" t="inlineStr">
        <is>
          <t>bear sum</t>
        </is>
      </c>
      <c r="D33" s="4" t="n">
        <v>-865</v>
      </c>
      <c r="E33" s="6">
        <f>D33/100*$B$10</f>
        <v/>
      </c>
      <c r="F33" s="6">
        <f>D33/100*$B$11</f>
        <v/>
      </c>
      <c r="G33" s="8">
        <f>E33/$D$15</f>
        <v/>
      </c>
      <c r="H33" t="inlineStr">
        <is>
          <t>concessions/data/concessions_eps.csv</t>
        </is>
      </c>
      <c r="I33" t="inlineStr">
        <is>
          <t>5% seats + 20% Stock + 5% individual</t>
        </is>
      </c>
    </row>
    <row r="34">
      <c r="A34" t="inlineStr">
        <is>
          <t>NNARR</t>
        </is>
      </c>
      <c r="B34" t="inlineStr">
        <is>
          <t>FY26 organic net new ARR vs FY25 ($2.14B vs $2.63B)</t>
        </is>
      </c>
      <c r="C34" t="inlineStr">
        <is>
          <t>-$490M</t>
        </is>
      </c>
      <c r="D34" s="4" t="n">
        <v>-490</v>
      </c>
      <c r="E34" s="6">
        <f>D34/100*$B$10</f>
        <v/>
      </c>
      <c r="F34" s="6">
        <f>D34/100*$B$11</f>
        <v/>
      </c>
      <c r="G34" s="8">
        <f>E34/$D$15</f>
        <v/>
      </c>
      <c r="H34" t="inlineStr">
        <is>
          <t>concessions/data/net_new_arr_fy25_vs_fy26.csv</t>
        </is>
      </c>
      <c r="I34" t="inlineStr">
        <is>
          <t>run-rate shortfall; FY27 consensus $2.34B needs +9% re-acceleration</t>
        </is>
      </c>
    </row>
    <row r="35">
      <c r="A35" t="inlineStr">
        <is>
          <t>C2-a</t>
        </is>
      </c>
      <c r="B35" t="inlineStr">
        <is>
          <t>PENDING Subagent B: enterprise content-stack ARR growth scenarios</t>
        </is>
      </c>
      <c r="C35" t="inlineStr">
        <is>
          <t>8/12/16%</t>
        </is>
      </c>
      <c r="D35" s="4" t="n"/>
      <c r="E35" s="6">
        <f>D35/100*$B$10</f>
        <v/>
      </c>
      <c r="F35" s="6">
        <f>D35/100*$B$11</f>
        <v/>
      </c>
      <c r="G35" s="8">
        <f>E35/$D$15</f>
        <v/>
      </c>
      <c r="H35" t="inlineStr">
        <is>
          <t>c2_content/data/eps_content_stack.csv</t>
        </is>
      </c>
      <c r="I35" t="inlineStr">
        <is>
          <t>filled on completion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7"/>
  <sheetViews>
    <sheetView workbookViewId="0">
      <selection activeCell="A1" sqref="A1"/>
    </sheetView>
  </sheetViews>
  <sheetFormatPr baseColWidth="8" defaultRowHeight="15"/>
  <cols>
    <col width="65" customWidth="1" min="1" max="1"/>
    <col width="80" customWidth="1" min="2" max="2"/>
    <col width="80" customWidth="1" min="3" max="3"/>
    <col width="80" customWidth="1" min="4" max="4"/>
    <col width="15" customWidth="1" min="5" max="5"/>
    <col width="80" customWidth="1" min="6" max="6"/>
  </cols>
  <sheetData>
    <row r="1">
      <c r="A1" s="1" t="inlineStr">
        <is>
          <t>All workstream sources (concatenated from each ws*/sources.csv)</t>
        </is>
      </c>
    </row>
    <row r="2"/>
    <row r="3">
      <c r="A3" s="3" t="inlineStr">
        <is>
          <t>workstream</t>
        </is>
      </c>
      <c r="B3" s="3" t="inlineStr">
        <is>
          <t>claim</t>
        </is>
      </c>
      <c r="C3" s="3" t="inlineStr">
        <is>
          <t>value</t>
        </is>
      </c>
      <c r="D3" s="3" t="inlineStr">
        <is>
          <t>url</t>
        </is>
      </c>
      <c r="E3" s="3" t="inlineStr">
        <is>
          <t>date_accessed</t>
        </is>
      </c>
      <c r="F3" s="3" t="inlineStr">
        <is>
          <t>notes</t>
        </is>
      </c>
    </row>
    <row r="4">
      <c r="A4" t="inlineStr">
        <is>
          <t>ws1_price_volume</t>
        </is>
      </c>
      <c r="B4" t="inlineStr">
        <is>
          <t>Adobe Q3 FY26 revenue</t>
        </is>
      </c>
      <c r="C4" t="inlineStr">
        <is>
          <t>$6.76B, +13% reported / +12% cc</t>
        </is>
      </c>
      <c r="D4" t="inlineStr">
        <is>
          <t>https://www.sec.gov/Archives/edgar/data/0000796343/000079634326000147/adbeex991q326.htm</t>
        </is>
      </c>
      <c r="E4" t="inlineStr">
        <is>
          <t>2026-10-02</t>
        </is>
      </c>
      <c r="F4" t="inlineStr">
        <is>
          <t>retrieved via WebSearch snippet; page not fetchable from this environment</t>
        </is>
      </c>
    </row>
    <row r="5">
      <c r="A5" t="inlineStr">
        <is>
          <t>ws1_price_volume</t>
        </is>
      </c>
      <c r="B5" t="inlineStr">
        <is>
          <t>Adobe Q3 FY26 C&amp;MP subscription revenue</t>
        </is>
      </c>
      <c r="C5" t="inlineStr">
        <is>
          <t>$4,651M vs $4,117M (+13% / +12% cc)</t>
        </is>
      </c>
      <c r="D5" t="inlineStr">
        <is>
          <t>https://www.sec.gov/Archives/edgar/data/0000796343/000079634326000156/adbe-20260828.htm</t>
        </is>
      </c>
      <c r="E5" t="inlineStr">
        <is>
          <t>2026-10-02</t>
        </is>
      </c>
      <c r="F5" t="inlineStr">
        <is>
          <t>orchestrator starting facts (10-Q Q3 FY26); growth rates matched by WebSearch snippet of 8-K Ex 99.1</t>
        </is>
      </c>
    </row>
    <row r="6">
      <c r="A6" t="inlineStr">
        <is>
          <t>ws1_price_volume</t>
        </is>
      </c>
      <c r="B6" t="inlineStr">
        <is>
          <t>Adobe Q3 FY26 BP&amp;C subscription revenue</t>
        </is>
      </c>
      <c r="C6" t="inlineStr">
        <is>
          <t>$1,905M vs $1,648M (+16% / +15% cc)</t>
        </is>
      </c>
      <c r="D6" t="inlineStr">
        <is>
          <t>https://www.sec.gov/Archives/edgar/data/0000796343/000079634326000156/adbe-20260828.htm</t>
        </is>
      </c>
      <c r="E6" t="inlineStr">
        <is>
          <t>2026-10-02</t>
        </is>
      </c>
      <c r="F6" t="inlineStr">
        <is>
          <t>orchestrator starting facts (10-Q Q3 FY26); growth matched by WebSearch snippet</t>
        </is>
      </c>
    </row>
    <row r="7">
      <c r="A7" t="inlineStr">
        <is>
          <t>ws1_price_volume</t>
        </is>
      </c>
      <c r="B7" t="inlineStr">
        <is>
          <t>Adobe Q3 FY26 total ending ARR</t>
        </is>
      </c>
      <c r="C7" t="inlineStr">
        <is>
          <t>$27.50B, +11.2% YoY; AI-first ARR &gt;$650M (+150%)</t>
        </is>
      </c>
      <c r="D7" t="inlineStr">
        <is>
          <t>https://www.sec.gov/Archives/edgar/data/0000796343/000079634326000147/adbeex991q326.htm</t>
        </is>
      </c>
      <c r="E7" t="inlineStr">
        <is>
          <t>2026-10-02</t>
        </is>
      </c>
      <c r="F7" t="inlineStr">
        <is>
          <t>retrieved via WebSearch snippet; page not fetchable from this environment</t>
        </is>
      </c>
    </row>
    <row r="8">
      <c r="A8" t="inlineStr">
        <is>
          <t>ws1_price_volume</t>
        </is>
      </c>
      <c r="B8" t="inlineStr">
        <is>
          <t>Adobe Q2 FY26 revenue / C&amp;MP / BP&amp;C</t>
        </is>
      </c>
      <c r="C8" t="inlineStr">
        <is>
          <t>$6.62B (+13%); C&amp;MP $4.54B (+13% / +11% cc); BP&amp;C $1.85B (+16% / +15% cc)</t>
        </is>
      </c>
      <c r="D8" t="inlineStr">
        <is>
          <t>https://www.sec.gov/Archives/edgar/data/796343/000079634326000109/adbeex991q226.htm</t>
        </is>
      </c>
      <c r="E8" t="inlineStr">
        <is>
          <t>2026-10-02</t>
        </is>
      </c>
      <c r="F8" t="inlineStr">
        <is>
          <t>retrieved via WebSearch snippet; page not fetchable from this environment</t>
        </is>
      </c>
    </row>
    <row r="9">
      <c r="A9" t="inlineStr">
        <is>
          <t>ws1_price_volume</t>
        </is>
      </c>
      <c r="B9" t="inlineStr">
        <is>
          <t>Adobe Q2 FY26 ending ARR incl. Semrush</t>
        </is>
      </c>
      <c r="C9" t="inlineStr">
        <is>
          <t>$27.10B incl ~$480M Semrush; +12.5% vs $24.08B restated at FY26 rates</t>
        </is>
      </c>
      <c r="D9" t="inlineStr">
        <is>
          <t>https://www.sec.gov/Archives/edgar/data/0000796343/000079634326000112/adbe-20260529.htm</t>
        </is>
      </c>
      <c r="E9" t="inlineStr">
        <is>
          <t>2026-10-02</t>
        </is>
      </c>
      <c r="F9" t="inlineStr">
        <is>
          <t>retrieved via WebSearch snippet; page not fetchable from this environment; restated base from Q2 FY26 10-Q</t>
        </is>
      </c>
    </row>
    <row r="10">
      <c r="A10" t="inlineStr">
        <is>
          <t>ws1_price_volume</t>
        </is>
      </c>
      <c r="B10" t="inlineStr">
        <is>
          <t>Semrush revenue in Adobe Q2 FY26</t>
        </is>
      </c>
      <c r="C10" t="inlineStr">
        <is>
          <t>~$40M of customer-group subscription revenue (approx. 1 month)</t>
        </is>
      </c>
      <c r="D10" t="inlineStr">
        <is>
          <t>https://www.sec.gov/Archives/edgar/data/796343/000079634326000109/adbeex991q226.htm</t>
        </is>
      </c>
      <c r="E10" t="inlineStr">
        <is>
          <t>2026-10-02</t>
        </is>
      </c>
      <c r="F10" t="inlineStr">
        <is>
          <t>retrieved via WebSearch snippet; page not fetchable from this environment</t>
        </is>
      </c>
    </row>
    <row r="11">
      <c r="A11" t="inlineStr">
        <is>
          <t>ws1_price_volume</t>
        </is>
      </c>
      <c r="B11" t="inlineStr">
        <is>
          <t>FY26 C&amp;MP guide includes Semrush</t>
        </is>
      </c>
      <c r="C11" t="inlineStr">
        <is>
          <t>~$280M Semrush in C&amp;MP guide $18.21-18.27B (June 2026 raise)</t>
        </is>
      </c>
      <c r="D11" t="inlineStr">
        <is>
          <t>https://www.sec.gov/Archives/edgar/data/796343/000079634326000109/adbeex991q226.htm</t>
        </is>
      </c>
      <c r="E11" t="inlineStr">
        <is>
          <t>2026-10-02</t>
        </is>
      </c>
      <c r="F11" t="inlineStr">
        <is>
          <t>retrieved via WebSearch snippet; page not fetchable from this environment</t>
        </is>
      </c>
    </row>
    <row r="12">
      <c r="A12" t="inlineStr">
        <is>
          <t>ws1_price_volume</t>
        </is>
      </c>
      <c r="B12" t="inlineStr">
        <is>
          <t>Adobe Q1 FY26 revenue / C&amp;MP / BP&amp;C</t>
        </is>
      </c>
      <c r="C12" t="inlineStr">
        <is>
          <t>$6.40B (+12% / +11% cc); C&amp;MP $4,389M (+12% / +11% cc); BP&amp;C $1,782M (+15-16%)</t>
        </is>
      </c>
      <c r="D12" t="inlineStr">
        <is>
          <t>https://www.sec.gov/Archives/edgar/data/796343/000079634326000048/adbeex991q126.htm</t>
        </is>
      </c>
      <c r="E12" t="inlineStr">
        <is>
          <t>2026-10-02</t>
        </is>
      </c>
      <c r="F12" t="inlineStr">
        <is>
          <t>retrieved via WebSearch snippet; page not fetchable from this environment; BP&amp;C growth quoted 15% and 16% in different snippets</t>
        </is>
      </c>
    </row>
    <row r="13">
      <c r="A13" t="inlineStr">
        <is>
          <t>ws1_price_volume</t>
        </is>
      </c>
      <c r="B13" t="inlineStr">
        <is>
          <t>Adobe Q1 FY26 ending ARR</t>
        </is>
      </c>
      <c r="C13" t="inlineStr">
        <is>
          <t>$26.06B, +10.9% YoY</t>
        </is>
      </c>
      <c r="D13" t="inlineStr">
        <is>
          <t>https://www.sec.gov/Archives/edgar/data/796343/000079634326000048/adbeex991q126.htm</t>
        </is>
      </c>
      <c r="E13" t="inlineStr">
        <is>
          <t>2026-10-02</t>
        </is>
      </c>
      <c r="F13" t="inlineStr">
        <is>
          <t>retrieved via WebSearch snippet; page not fetchable from this environment</t>
        </is>
      </c>
    </row>
    <row r="14">
      <c r="A14" t="inlineStr">
        <is>
          <t>ws1_price_volume</t>
        </is>
      </c>
      <c r="B14" t="inlineStr">
        <is>
          <t>Adobe Q4 FY25 revenue; FY25 revenue</t>
        </is>
      </c>
      <c r="C14" t="inlineStr">
        <is>
          <t>$6.19B (+10%); FY25 $23.77B (+11%); Digital Media Q4 $4.62B, FY $17.65B (+11%); DM ARR $19.2B (+11.5%)</t>
        </is>
      </c>
      <c r="D14" t="inlineStr">
        <is>
          <t>https://www.sec.gov/Archives/edgar/data/796343/000079634325000135/adbeex991q425.htm</t>
        </is>
      </c>
      <c r="E14" t="inlineStr">
        <is>
          <t>2026-10-02</t>
        </is>
      </c>
      <c r="F14" t="inlineStr">
        <is>
          <t>retrieved via WebSearch snippet; page not fetchable from this environment</t>
        </is>
      </c>
    </row>
    <row r="15">
      <c r="A15" t="inlineStr">
        <is>
          <t>ws1_price_volume</t>
        </is>
      </c>
      <c r="B15" t="inlineStr">
        <is>
          <t>Adobe Q4 FY25 recast customer groups</t>
        </is>
      </c>
      <c r="C15" t="inlineStr">
        <is>
          <t>C&amp;MP $4.25B (+11% / +10% cc); BP&amp;C $1.72B (+15%)</t>
        </is>
      </c>
      <c r="D15" t="inlineStr">
        <is>
          <t>https://www.sec.gov/Archives/edgar/data/796343/000079634325000135/adbeex991q425.htm</t>
        </is>
      </c>
      <c r="E15" t="inlineStr">
        <is>
          <t>2026-10-02</t>
        </is>
      </c>
      <c r="F15" t="inlineStr">
        <is>
          <t>retrieved via WebSearch snippet; page not fetchable from this environment</t>
        </is>
      </c>
    </row>
    <row r="16">
      <c r="A16" t="inlineStr">
        <is>
          <t>ws1_price_volume</t>
        </is>
      </c>
      <c r="B16" t="inlineStr">
        <is>
          <t>Adobe FY25 ending ARR revaluation</t>
        </is>
      </c>
      <c r="C16" t="inlineStr">
        <is>
          <t>$25.20B revalued to $25.66B at FY26 rates (+$460M, mainly FX)</t>
        </is>
      </c>
      <c r="D16" t="inlineStr">
        <is>
          <t>https://www.sec.gov/Archives/edgar/data/796343/000079634325000135/adbeex991q425.htm</t>
        </is>
      </c>
      <c r="E16" t="inlineStr">
        <is>
          <t>2026-10-02</t>
        </is>
      </c>
      <c r="F16" t="inlineStr">
        <is>
          <t>retrieved via WebSearch snippet; page not fetchable from this environment</t>
        </is>
      </c>
    </row>
    <row r="17">
      <c r="A17" t="inlineStr">
        <is>
          <t>ws1_price_volume</t>
        </is>
      </c>
      <c r="B17" t="inlineStr">
        <is>
          <t>Adobe FY26 initial targets (Dec 2025)</t>
        </is>
      </c>
      <c r="C17" t="inlineStr">
        <is>
          <t>Revenue $25.90-26.10B; BP&amp;C $7.35-7.40B; C&amp;MP $17.75-17.90B</t>
        </is>
      </c>
      <c r="D17" t="inlineStr">
        <is>
          <t>https://www.sec.gov/Archives/edgar/data/796343/000079634325000135/adbeex991q425.htm</t>
        </is>
      </c>
      <c r="E17" t="inlineStr">
        <is>
          <t>2026-10-02</t>
        </is>
      </c>
      <c r="F17" t="inlineStr">
        <is>
          <t>retrieved via WebSearch snippet; page not fetchable from this environment</t>
        </is>
      </c>
    </row>
    <row r="18">
      <c r="A18" t="inlineStr">
        <is>
          <t>ws1_price_volume</t>
        </is>
      </c>
      <c r="B18" t="inlineStr">
        <is>
          <t>Adobe FY25 Q1-Q3 recast customer groups</t>
        </is>
      </c>
      <c r="C18" t="inlineStr">
        <is>
          <t>Q1 C&amp;MP $3.92B (+10%) / BP&amp;C $1.53B (+15%); Q2 $4.02B (+10%) / $1.60B (+15%); Q3 $4.12B (+11%) / $1.65B (+15%)</t>
        </is>
      </c>
      <c r="D18" t="inlineStr">
        <is>
          <t>https://www.sec.gov/Archives/edgar/data/796343/000079634325000102/adbeex991q325.htm</t>
        </is>
      </c>
      <c r="E18" t="inlineStr">
        <is>
          <t>2026-10-02</t>
        </is>
      </c>
      <c r="F18" t="inlineStr">
        <is>
          <t>retrieved via WebSearch snippet; page not fetchable from this environment; recast series summarised across FY25 8-K exhibits</t>
        </is>
      </c>
    </row>
    <row r="19">
      <c r="A19" t="inlineStr">
        <is>
          <t>ws1_price_volume</t>
        </is>
      </c>
      <c r="B19" t="inlineStr">
        <is>
          <t>Adobe Q1 FY25</t>
        </is>
      </c>
      <c r="C19" t="inlineStr">
        <is>
          <t>Revenue $5.71B (+10% / +11% cc); Digital Media $4,227M; DM ARR $17.63B (+12.6%)</t>
        </is>
      </c>
      <c r="D19" t="inlineStr">
        <is>
          <t>https://www.sec.gov/Archives/edgar/data/796343/000079634325000052/adbeex991q125.htm</t>
        </is>
      </c>
      <c r="E19" t="inlineStr">
        <is>
          <t>2026-10-02</t>
        </is>
      </c>
      <c r="F19" t="inlineStr">
        <is>
          <t>retrieved via WebSearch snippet; page not fetchable from this environment</t>
        </is>
      </c>
    </row>
    <row r="20">
      <c r="A20" t="inlineStr">
        <is>
          <t>ws1_price_volume</t>
        </is>
      </c>
      <c r="B20" t="inlineStr">
        <is>
          <t>Adobe Q2 FY25</t>
        </is>
      </c>
      <c r="C20" t="inlineStr">
        <is>
          <t>Revenue $5.87B (+11%); Digital Media $4.35B (+12%); DM ARR $18.09B (+12.1%)</t>
        </is>
      </c>
      <c r="D20" t="inlineStr">
        <is>
          <t>https://www.sec.gov/Archives/edgar/data/796343/000079634325000064/adbeex991q225.htm</t>
        </is>
      </c>
      <c r="E20" t="inlineStr">
        <is>
          <t>2026-10-02</t>
        </is>
      </c>
      <c r="F20" t="inlineStr">
        <is>
          <t>retrieved via WebSearch snippet; page not fetchable from this environment</t>
        </is>
      </c>
    </row>
    <row r="21">
      <c r="A21" t="inlineStr">
        <is>
          <t>ws1_price_volume</t>
        </is>
      </c>
      <c r="B21" t="inlineStr">
        <is>
          <t>Adobe Q3 FY25</t>
        </is>
      </c>
      <c r="C21" t="inlineStr">
        <is>
          <t>Revenue $5.99B (+11%); Digital Media $4,459M (+12% / +11% cc); DM ARR $18.59B (+11.7%)</t>
        </is>
      </c>
      <c r="D21" t="inlineStr">
        <is>
          <t>https://www.sec.gov/Archives/edgar/data/796343/000079634325000102/adbeex991q325.htm</t>
        </is>
      </c>
      <c r="E21" t="inlineStr">
        <is>
          <t>2026-10-02</t>
        </is>
      </c>
      <c r="F21" t="inlineStr">
        <is>
          <t>retrieved via WebSearch snippet; page not fetchable from this environment</t>
        </is>
      </c>
    </row>
    <row r="22">
      <c r="A22" t="inlineStr">
        <is>
          <t>ws1_price_volume</t>
        </is>
      </c>
      <c r="B22" t="inlineStr">
        <is>
          <t>Adobe FY24 quarterly revenue</t>
        </is>
      </c>
      <c r="C22" t="inlineStr">
        <is>
          <t>Q1 $5.18B, Q2 $5.31B, Q3 $5.41B, Q4 $5.61B; FY24 $21.51B; DM $15.86B; Document Cloud $3.18B; DM ARR 15.76/16.25/16.76/17.33</t>
        </is>
      </c>
      <c r="D22" t="inlineStr">
        <is>
          <t>https://www.sec.gov/Archives/edgar/data/796343/000079634324000250/adbeex991q424.htm</t>
        </is>
      </c>
      <c r="E22" t="inlineStr">
        <is>
          <t>2026-10-02</t>
        </is>
      </c>
      <c r="F22" t="inlineStr">
        <is>
          <t>retrieved via WebSearch snippet; page not fetchable from this environment</t>
        </is>
      </c>
    </row>
    <row r="23">
      <c r="A23" t="inlineStr">
        <is>
          <t>ws1_price_volume</t>
        </is>
      </c>
      <c r="B23" t="inlineStr">
        <is>
          <t>Semrush Q4 2025 and FY2025 revenue</t>
        </is>
      </c>
      <c r="C23" t="inlineStr">
        <is>
          <t>Q4 $117.7M (+15%); FY25 $443.6M (+18%); ARR $471.4M at 2025-12-31</t>
        </is>
      </c>
      <c r="D23" t="inlineStr">
        <is>
          <t>https://www.sec.gov/Archives/edgar/data/1831840/000162828026013251/semrush8-kexhibit991q42025.htm</t>
        </is>
      </c>
      <c r="E23" t="inlineStr">
        <is>
          <t>2026-10-02</t>
        </is>
      </c>
      <c r="F23" t="inlineStr">
        <is>
          <t>retrieved via WebSearch snippet; page not fetchable from this environment; also businesswire 2026-03-02</t>
        </is>
      </c>
    </row>
    <row r="24">
      <c r="A24" t="inlineStr">
        <is>
          <t>ws1_price_volume</t>
        </is>
      </c>
      <c r="B24" t="inlineStr">
        <is>
          <t>Semrush Q1 2026 revenue</t>
        </is>
      </c>
      <c r="C24" t="inlineStr">
        <is>
          <t>UNAVAILABLE: no standalone Q1-26 results published (no call/guidance due to Adobe close); analyst consensus ~$121M</t>
        </is>
      </c>
      <c r="D24" t="inlineStr">
        <is>
          <t>https://www.semrush.com/news/448771-semrush-announces-fourth-quarter-and-full-year-2025-financial-results/</t>
        </is>
      </c>
      <c r="E24" t="inlineStr">
        <is>
          <t>2026-10-02</t>
        </is>
      </c>
      <c r="F24" t="inlineStr">
        <is>
          <t>consensus figure from search snippet, not a company figure</t>
        </is>
      </c>
    </row>
    <row r="25">
      <c r="A25" t="inlineStr">
        <is>
          <t>ws1_price_volume</t>
        </is>
      </c>
      <c r="B25" t="inlineStr">
        <is>
          <t>Semrush acquisition close</t>
        </is>
      </c>
      <c r="C25" t="inlineStr">
        <is>
          <t>2026-04-28, ~$1.87B (orchestrator)</t>
        </is>
      </c>
      <c r="D25" t="inlineStr">
        <is>
          <t>https://www.sec.gov/Archives/edgar/data/796343/000079634326000109/adbeex991q226.htm</t>
        </is>
      </c>
      <c r="E25" t="inlineStr">
        <is>
          <t>2026-10-02</t>
        </is>
      </c>
      <c r="F25" t="inlineStr">
        <is>
          <t>orchestrator starting facts; consistent with Q2 FY26 release language</t>
        </is>
      </c>
    </row>
    <row r="26">
      <c r="A26" t="inlineStr">
        <is>
          <t>ws1_price_volume</t>
        </is>
      </c>
      <c r="B26" t="inlineStr">
        <is>
          <t>CC price change Apr-2022</t>
        </is>
      </c>
      <c r="C26" t="inlineStr">
        <is>
          <t>Teams All Apps $79.99-&gt;$84.99; teams single app $33.99-&gt;$35.99; individual month-to-month All Apps $79.49-&gt;$82.49; effective at renewal on/after 2022-04-27</t>
        </is>
      </c>
      <c r="D26" t="inlineStr">
        <is>
          <t>https://blog.adobe.com/en/publish/2022/03/22/creative-cloud-offering-price-update</t>
        </is>
      </c>
      <c r="E26" t="inlineStr">
        <is>
          <t>2026-10-02</t>
        </is>
      </c>
      <c r="F26" t="inlineStr">
        <is>
          <t>retrieved via WebSearch snippet; page not fetchable from this environment; cgchannel 2022-03</t>
        </is>
      </c>
    </row>
    <row r="27">
      <c r="A27" t="inlineStr">
        <is>
          <t>ws1_price_volume</t>
        </is>
      </c>
      <c r="B27" t="inlineStr">
        <is>
          <t>CC price change Nov-2023</t>
        </is>
      </c>
      <c r="C27" t="inlineStr">
        <is>
          <t>All Apps individual $54.99-&gt;$59.99 (annual billed monthly), $82.49-&gt;$89.99 m2m; single app $20.99-&gt;$22.99; teams All Apps $84.99-&gt;$89.99; teams single app $35.99-&gt;$37.99; NA/LatAm/Europe 2023-11-01, APAC/Africa 2024-03-05</t>
        </is>
      </c>
      <c r="D27" t="inlineStr">
        <is>
          <t>https://blog.adobe.com/en/publish/2023/09/13/ai-creative-cloud-release-pricing-update</t>
        </is>
      </c>
      <c r="E27" t="inlineStr">
        <is>
          <t>2026-10-02</t>
        </is>
      </c>
      <c r="F27" t="inlineStr">
        <is>
          <t>retrieved via WebSearch snippet; page not fetchable from this environment; helpx 2023 teams &amp; individual pages; PetaPixel; dpreview</t>
        </is>
      </c>
    </row>
    <row r="28">
      <c r="A28" t="inlineStr">
        <is>
          <t>ws1_price_volume</t>
        </is>
      </c>
      <c r="B28" t="inlineStr">
        <is>
          <t>Firefly Premium add-on Nov-2023</t>
        </is>
      </c>
      <c r="C28" t="inlineStr">
        <is>
          <t>$4.99/mo for 100 generative credits</t>
        </is>
      </c>
      <c r="D28" t="inlineStr">
        <is>
          <t>https://www.dpreview.com/news/1676880155/adobe-increases-creative-cloud-pricing-takes-firefly-out-of-beta/</t>
        </is>
      </c>
      <c r="E28" t="inlineStr">
        <is>
          <t>2026-10-02</t>
        </is>
      </c>
      <c r="F28" t="inlineStr">
        <is>
          <t>retrieved via WebSearch snippet; page not fetchable from this environment</t>
        </is>
      </c>
    </row>
    <row r="29">
      <c r="A29" t="inlineStr">
        <is>
          <t>ws1_price_volume</t>
        </is>
      </c>
      <c r="B29" t="inlineStr">
        <is>
          <t>Photography plan change Jan-2025</t>
        </is>
      </c>
      <c r="C29" t="inlineStr">
        <is>
          <t>20GB plan $9.99-&gt;$14.99 for existing monthly-billed (annual prepaid $119.88 unchanged); 20GB retired for new subscribers (1TB $19.99 only); Lightroom 1TB $9.99-&gt;$11.99 annual-billed-monthly; effective 2025-01-15</t>
        </is>
      </c>
      <c r="D29" t="inlineStr">
        <is>
          <t>https://blog.adobe.com/en/publish/2024/12/15/all-new-photography-innovations-pricing-updates</t>
        </is>
      </c>
      <c r="E29" t="inlineStr">
        <is>
          <t>2026-10-02</t>
        </is>
      </c>
      <c r="F29" t="inlineStr">
        <is>
          <t>retrieved via WebSearch snippet; page not fetchable from this environment; PetaPixel 2024-12-18; lightroomqueen</t>
        </is>
      </c>
    </row>
    <row r="30">
      <c r="A30" t="inlineStr">
        <is>
          <t>ws1_price_volume</t>
        </is>
      </c>
      <c r="B30" t="inlineStr">
        <is>
          <t>Firefly standalone plans Feb-2025</t>
        </is>
      </c>
      <c r="C30" t="inlineStr">
        <is>
          <t>Standard $9.99, Pro $29.99 (launch/promotional, subject to change 2025-03-15); Premium $199.99 later</t>
        </is>
      </c>
      <c r="D30" t="inlineStr">
        <is>
          <t>https://techcrunch.com/2025/02/12/adobe-launches-firefly-ai-subscriptions/</t>
        </is>
      </c>
      <c r="E30" t="inlineStr">
        <is>
          <t>2026-10-02</t>
        </is>
      </c>
      <c r="F30" t="inlineStr">
        <is>
          <t>retrieved via WebSearch snippet; page not fetchable from this environment; PetaPixel 2025-02-18</t>
        </is>
      </c>
    </row>
    <row r="31">
      <c r="A31" t="inlineStr">
        <is>
          <t>ws1_price_volume</t>
        </is>
      </c>
      <c r="B31" t="inlineStr">
        <is>
          <t>Firefly lineup 2026</t>
        </is>
      </c>
      <c r="C31" t="inlineStr">
        <is>
          <t>Standard $9.99 / Pro $19.99 / Pro Plus $49.99 / Premium $199.99; 30% off Pro Plus/Premium first year to 2026-08-26</t>
        </is>
      </c>
      <c r="D31" t="inlineStr">
        <is>
          <t>https://aiproductivity.ai/pricing/adobe-firefly/</t>
        </is>
      </c>
      <c r="E31" t="inlineStr">
        <is>
          <t>2026-10-02</t>
        </is>
      </c>
      <c r="F31" t="inlineStr">
        <is>
          <t>third-party price tracker; re-tier date UNAVAILABLE</t>
        </is>
      </c>
    </row>
    <row r="32">
      <c r="A32" t="inlineStr">
        <is>
          <t>ws1_price_volume</t>
        </is>
      </c>
      <c r="B32" t="inlineStr">
        <is>
          <t>Firefly credit packs</t>
        </is>
      </c>
      <c r="C32" t="inlineStr">
        <is>
          <t>100 extra credits $4.99; add-on packs of 2,000/4,000/7,000 credits exist</t>
        </is>
      </c>
      <c r="D32" t="inlineStr">
        <is>
          <t>https://helpx.adobe.com/creative-cloud/apps/generative-ai/generative-credits-faq.html</t>
        </is>
      </c>
      <c r="E32" t="inlineStr">
        <is>
          <t>2026-10-02</t>
        </is>
      </c>
      <c r="F32" t="inlineStr">
        <is>
          <t>retrieved via WebSearch snippet; page not fetchable from this environment</t>
        </is>
      </c>
    </row>
    <row r="33">
      <c r="A33" t="inlineStr">
        <is>
          <t>ws1_price_volume</t>
        </is>
      </c>
      <c r="B33" t="inlineStr">
        <is>
          <t>CC Pro change Jun-2025 (individual)</t>
        </is>
      </c>
      <c r="C33" t="inlineStr">
        <is>
          <t>All Apps renamed Creative Cloud Pro; $59.99-&gt;$69.99 annual billed monthly, NA, at renewal on/after 2025-06-17; new Standard tier $54.99; single-app unchanged</t>
        </is>
      </c>
      <c r="D33" t="inlineStr">
        <is>
          <t>https://helpx.adobe.com/account/individual/subscriptions-and-plans/plan-types-and-eligibility/changes-to-individual-plan.html</t>
        </is>
      </c>
      <c r="E33" t="inlineStr">
        <is>
          <t>2026-10-02</t>
        </is>
      </c>
      <c r="F33" t="inlineStr">
        <is>
          <t>retrieved via WebSearch snippet; page not fetchable from this environment; PetaPixel 2025-05-20; Fast Company</t>
        </is>
      </c>
    </row>
    <row r="34">
      <c r="A34" t="inlineStr">
        <is>
          <t>ws1_price_volume</t>
        </is>
      </c>
      <c r="B34" t="inlineStr">
        <is>
          <t>CC Pro change Jun-2025 (teams)</t>
        </is>
      </c>
      <c r="C34" t="inlineStr">
        <is>
          <t>Teams All Apps -&gt; Pro for teams $89.99-&gt;$99.99; single app teams unchanged $37.99</t>
        </is>
      </c>
      <c r="D34" t="inlineStr">
        <is>
          <t>https://helpx.adobe.com/account/individual/subscriptions-and-plans/plan-types-and-eligibility/changes-to-teams-plan.html</t>
        </is>
      </c>
      <c r="E34" t="inlineStr">
        <is>
          <t>2026-10-02</t>
        </is>
      </c>
      <c r="F34" t="inlineStr">
        <is>
          <t>retrieved via WebSearch snippet; page not fetchable from this environment; licenseware summary</t>
        </is>
      </c>
    </row>
    <row r="35">
      <c r="A35" t="inlineStr">
        <is>
          <t>ws1_price_volume</t>
        </is>
      </c>
      <c r="B35" t="inlineStr">
        <is>
          <t>Acrobat Pro price increase 2022-2023</t>
        </is>
      </c>
      <c r="C35" t="inlineStr">
        <is>
          <t>~40% per Adobe; $14.99-&gt;$19.99/mo observed; new customers from 2022-08-08, existing from 2023-07-01</t>
        </is>
      </c>
      <c r="D35" t="inlineStr">
        <is>
          <t>https://www.schneider.im/adobe-acrobat-pro-price-increase-reminder/</t>
        </is>
      </c>
      <c r="E35" t="inlineStr">
        <is>
          <t>2026-10-02</t>
        </is>
      </c>
      <c r="F35" t="inlineStr">
        <is>
          <t>retrieved via WebSearch snippet; page not fetchable from this environment; Adobe community thread</t>
        </is>
      </c>
    </row>
    <row r="36">
      <c r="A36" t="inlineStr">
        <is>
          <t>ws1_price_volume</t>
        </is>
      </c>
      <c r="B36" t="inlineStr">
        <is>
          <t>Acrobat Studio launch</t>
        </is>
      </c>
      <c r="C36" t="inlineStr">
        <is>
          <t>2025-08-19; $24.99 individual / $29.99 teams early-access; up to 15% upgrade discount to 2026-10-31</t>
        </is>
      </c>
      <c r="D36" t="inlineStr">
        <is>
          <t>https://news.adobe.com/news/2025/08/acrobat-studio-delivers-new-ai-powered-home-for-productivity-creativity</t>
        </is>
      </c>
      <c r="E36" t="inlineStr">
        <is>
          <t>2026-10-02</t>
        </is>
      </c>
      <c r="F36" t="inlineStr">
        <is>
          <t>retrieved via WebSearch snippet; page not fetchable from this environment; news.adobe.com blocked here</t>
        </is>
      </c>
    </row>
    <row r="37">
      <c r="A37" t="inlineStr">
        <is>
          <t>ws1_price_volume</t>
        </is>
      </c>
      <c r="B37" t="inlineStr">
        <is>
          <t>Acrobat Standard business increase Apr-2026</t>
        </is>
      </c>
      <c r="C37" t="inlineStr">
        <is>
          <t>Effective 2026-04-01 for VIP Teams/Enterprise; percentage not disclosed</t>
        </is>
      </c>
      <c r="D37" t="inlineStr">
        <is>
          <t>https://www.schneider.im/adobe-acrobat-standard-price-increase-announcement/</t>
        </is>
      </c>
      <c r="E37" t="inlineStr">
        <is>
          <t>2026-10-02</t>
        </is>
      </c>
      <c r="F37" t="inlineStr">
        <is>
          <t>retrieved via WebSearch snippet; page not fetchable from this environment; licensemysoftware 2026-02-05</t>
        </is>
      </c>
    </row>
    <row r="38">
      <c r="A38" t="inlineStr">
        <is>
          <t>ws1_price_volume</t>
        </is>
      </c>
      <c r="B38" t="inlineStr">
        <is>
          <t>VIP list price increase Jun-2026</t>
        </is>
      </c>
      <c r="C38" t="inlineStr">
        <is>
          <t>Most CC &amp; Acrobat SKUs on VIP Marketplace from 2026-06-01, esp. &gt;=10-licence tiers; Express/Stock/AI Assistant/Sign excluded; Acrobat Pro teams $22.99-&gt;$23.99</t>
        </is>
      </c>
      <c r="D38" t="inlineStr">
        <is>
          <t>https://www.schneider.im/adobe-acrobat-creative-cloud-others-price-increases/</t>
        </is>
      </c>
      <c r="E38" t="inlineStr">
        <is>
          <t>2026-10-02</t>
        </is>
      </c>
      <c r="F38" t="inlineStr">
        <is>
          <t>retrieved via WebSearch snippet; page not fetchable from this environment; Redress Compliance claims 5-22% by SKU (secondary)</t>
        </is>
      </c>
    </row>
    <row r="39">
      <c r="A39" t="inlineStr">
        <is>
          <t>ws1_price_volume</t>
        </is>
      </c>
      <c r="B39" t="inlineStr">
        <is>
          <t>Claimed Jan-15-2026 consumer increase</t>
        </is>
      </c>
      <c r="C39" t="inlineStr">
        <is>
          <t>Secondary blogs assert broad consumer/SMB increase 2026-01-15; no primary confirmation found</t>
        </is>
      </c>
      <c r="D39" t="inlineStr">
        <is>
          <t>https://ravody.com/adobe-creative-cloud-acrobat-pricing-2026/</t>
        </is>
      </c>
      <c r="E39" t="inlineStr">
        <is>
          <t>2026-10-02</t>
        </is>
      </c>
      <c r="F39" t="inlineStr">
        <is>
          <t>LOW CONFIDENCE; not used in base model</t>
        </is>
      </c>
    </row>
    <row r="40">
      <c r="A40" t="inlineStr">
        <is>
          <t>ws1_price_volume</t>
        </is>
      </c>
      <c r="B40" t="inlineStr">
        <is>
          <t>Current Acrobat individual list</t>
        </is>
      </c>
      <c r="C40" t="inlineStr">
        <is>
          <t>Standard $14.99, Pro $19.99, Studio $24.99 (annual billed monthly); teams Standard $16.99, Pro $23.99</t>
        </is>
      </c>
      <c r="D40" t="inlineStr">
        <is>
          <t>https://xodo.com/blog/adobe-acrobat-pricing-explained</t>
        </is>
      </c>
      <c r="E40" t="inlineStr">
        <is>
          <t>2026-10-02</t>
        </is>
      </c>
      <c r="F40" t="inlineStr">
        <is>
          <t>third-party; earlier Standard individual $12.99 - change date UNAVAILABLE</t>
        </is>
      </c>
    </row>
    <row r="41">
      <c r="A41" t="inlineStr">
        <is>
          <t>ws1_price_volume</t>
        </is>
      </c>
      <c r="B41" t="inlineStr">
        <is>
          <t>Adobe Express Premium price</t>
        </is>
      </c>
      <c r="C41" t="inlineStr">
        <is>
          <t>$9.99/mo or $99.99/yr, unchanged 2023-2026</t>
        </is>
      </c>
      <c r="D41" t="inlineStr">
        <is>
          <t>https://www.g2.com/products/adobe-express/pricing</t>
        </is>
      </c>
      <c r="E41" t="inlineStr">
        <is>
          <t>2026-10-02</t>
        </is>
      </c>
      <c r="F41" t="inlineStr">
        <is>
          <t>third-party listing; no Adobe price-change notice found</t>
        </is>
      </c>
    </row>
    <row r="42">
      <c r="A42" t="inlineStr">
        <is>
          <t>ws1_price_volume</t>
        </is>
      </c>
      <c r="B42" t="inlineStr">
        <is>
          <t>Adobe Q3 FY26 call: freemium MAU</t>
        </is>
      </c>
      <c r="C42" t="inlineStr">
        <is>
          <t>Creative freemium MAU &gt;100M, +70% YoY; Firefly ARR +40% QoQ</t>
        </is>
      </c>
      <c r="D42" t="inlineStr">
        <is>
          <t>https://www.adobe.com/cc-shared/assets/investor-relations/pdfs/adbe-q3fy26-transcript.pdf</t>
        </is>
      </c>
      <c r="E42" t="inlineStr">
        <is>
          <t>2026-10-02</t>
        </is>
      </c>
      <c r="F42" t="inlineStr">
        <is>
          <t>retrieved via WebSearch snippet; page not fetchable from this environment; no seat/subscriber count disclosed</t>
        </is>
      </c>
    </row>
    <row r="43">
      <c r="A43" t="inlineStr">
        <is>
          <t>ws2_seat_compression</t>
        </is>
      </c>
      <c r="B43" t="inlineStr">
        <is>
          <t>BLS OEWS national employment, 11-2021 Marketing Managers, May 2019</t>
        </is>
      </c>
      <c r="C43" t="inlineStr">
        <is>
          <t>263680</t>
        </is>
      </c>
      <c r="D43" t="inlineStr">
        <is>
          <t>https://www.bls.gov/oes/2019/may/oes112021.htm</t>
        </is>
      </c>
      <c r="E43" t="inlineStr">
        <is>
          <t>2026-10-02</t>
        </is>
      </c>
      <c r="F43" t="inlineStr">
        <is>
          <t>value read from GitHub mirror: github.com/axtex/255-AI data/processed/bls/bls_cleaned.csv (TOT_EMP_2019, from oesm19nat); wage from github.com/KNguyen37/h1b-econ-paper panel</t>
        </is>
      </c>
    </row>
    <row r="44">
      <c r="A44" t="inlineStr">
        <is>
          <t>ws2_seat_compression</t>
        </is>
      </c>
      <c r="B44" t="inlineStr">
        <is>
          <t>BLS OEWS national employment, 11-2021 Marketing Managers, May 2020</t>
        </is>
      </c>
      <c r="C44" t="inlineStr">
        <is>
          <t>270200</t>
        </is>
      </c>
      <c r="D44" t="inlineStr">
        <is>
          <t>https://www.bls.gov/oes/2020/may/oes112021.htm</t>
        </is>
      </c>
      <c r="E44" t="inlineStr">
        <is>
          <t>2026-10-02</t>
        </is>
      </c>
      <c r="F44" t="inlineStr">
        <is>
          <t>value read from GitHub mirror: github.com/ericsson-c/DMT-homework2 occupations-truncated.csv (May 2020 national table); 6 of 7 values cross-checked vs WebSearch snippets of bls.gov pages</t>
        </is>
      </c>
    </row>
    <row r="45">
      <c r="A45" t="inlineStr">
        <is>
          <t>ws2_seat_compression</t>
        </is>
      </c>
      <c r="B45" t="inlineStr">
        <is>
          <t>BLS OEWS national employment, 11-2021 Marketing Managers, May 2021</t>
        </is>
      </c>
      <c r="C45" t="inlineStr">
        <is>
          <t>278690</t>
        </is>
      </c>
      <c r="D45" t="inlineStr">
        <is>
          <t>https://www.bls.gov/oes/2021/may/oes112021.htm</t>
        </is>
      </c>
      <c r="E45" t="inlineStr">
        <is>
          <t>2026-10-02</t>
        </is>
      </c>
      <c r="F45" t="inlineStr">
        <is>
          <t>value read from GitHub mirror: github.com/openai/GPTs-are-GPTs data/national_May2021_dl.csv (verbatim BLS national_M2021_dl)</t>
        </is>
      </c>
    </row>
    <row r="46">
      <c r="A46" t="inlineStr">
        <is>
          <t>ws2_seat_compression</t>
        </is>
      </c>
      <c r="B46" t="inlineStr">
        <is>
          <t>BLS OEWS national employment, 11-2021 Marketing Managers, May 2022</t>
        </is>
      </c>
      <c r="C46" t="inlineStr">
        <is>
          <t>328570</t>
        </is>
      </c>
      <c r="D46" t="inlineStr">
        <is>
          <t>https://www.bls.gov/oes/2022/may/oes112021.htm</t>
        </is>
      </c>
      <c r="E46" t="inlineStr">
        <is>
          <t>2026-10-02</t>
        </is>
      </c>
      <c r="F46" t="inlineStr">
        <is>
          <t>value read from GitHub mirror: github.com/arieldklein/ai-employment-paper data_clean/bls_2022_clean.csv (from oesm22nat.zip); matches augw999 and axtex mirrors</t>
        </is>
      </c>
    </row>
    <row r="47">
      <c r="A47" t="inlineStr">
        <is>
          <t>ws2_seat_compression</t>
        </is>
      </c>
      <c r="B47" t="inlineStr">
        <is>
          <t>BLS OEWS national employment, 11-2021 Marketing Managers, May 2023</t>
        </is>
      </c>
      <c r="C47" t="inlineStr">
        <is>
          <t>368940</t>
        </is>
      </c>
      <c r="D47" t="inlineStr">
        <is>
          <t>https://www.bls.gov/oes/2023/may/oes112021.htm</t>
        </is>
      </c>
      <c r="E47" t="inlineStr">
        <is>
          <t>2026-10-02</t>
        </is>
      </c>
      <c r="F47" t="inlineStr">
        <is>
          <t>value read from GitHub mirror: github.com/augw999/ai-labor-market-impact_analysis cleaned_data_2023.csv; 6 of 7 values cross-checked vs WebSearch snippets of bls.gov pages; wage from KNguyen37 panel</t>
        </is>
      </c>
    </row>
    <row r="48">
      <c r="A48" t="inlineStr">
        <is>
          <t>ws2_seat_compression</t>
        </is>
      </c>
      <c r="B48" t="inlineStr">
        <is>
          <t>BLS OEWS national employment, 11-2021 Marketing Managers, May 2024</t>
        </is>
      </c>
      <c r="C48" t="inlineStr">
        <is>
          <t>384980</t>
        </is>
      </c>
      <c r="D48" t="inlineStr">
        <is>
          <t>https://www.bls.gov/oes/2024/may/oes112021.htm</t>
        </is>
      </c>
      <c r="E48" t="inlineStr">
        <is>
          <t>2026-10-02</t>
        </is>
      </c>
      <c r="F48" t="inlineStr">
        <is>
          <t>value read from GitHub mirror: github.com/Budget-Lab-Yale/AI-Employment-Model resources/national_M2024_dl.csv (verbatim BLS national_M2024_dl); matches theodorewright11 and augw999 mirrors</t>
        </is>
      </c>
    </row>
    <row r="49">
      <c r="A49" t="inlineStr">
        <is>
          <t>ws2_seat_compression</t>
        </is>
      </c>
      <c r="B49" t="inlineStr">
        <is>
          <t>BLS OEWS national employment, 11-2021 Marketing Managers, May 2025</t>
        </is>
      </c>
      <c r="C49" t="inlineStr">
        <is>
          <t>395240</t>
        </is>
      </c>
      <c r="D49" t="inlineStr">
        <is>
          <t>https://www.bls.gov/oes/2025/may/oes112021.htm</t>
        </is>
      </c>
      <c r="E49" t="inlineStr">
        <is>
          <t>2026-10-02</t>
        </is>
      </c>
      <c r="F49" t="inlineStr">
        <is>
          <t>value read from GitHub mirror: github.com/theodorewright11/ai-workforce-exposure-dataset-construction-public data/oews_national_2025.csv (verbatim BLS national_M2025_dl); matches arieldklein bls_2025_clean.csv; GD/AD/MM cross-checked vs WebSearch</t>
        </is>
      </c>
    </row>
    <row r="50">
      <c r="A50" t="inlineStr">
        <is>
          <t>ws2_seat_compression</t>
        </is>
      </c>
      <c r="B50" t="inlineStr">
        <is>
          <t>BLS OEWS national employment, 13-1161 Market Research Analysts and Marketing Specialists, May 2019</t>
        </is>
      </c>
      <c r="C50" t="inlineStr">
        <is>
          <t>678500</t>
        </is>
      </c>
      <c r="D50" t="inlineStr">
        <is>
          <t>https://www.bls.gov/oes/2019/may/oes131161.htm</t>
        </is>
      </c>
      <c r="E50" t="inlineStr">
        <is>
          <t>2026-10-02</t>
        </is>
      </c>
      <c r="F50" t="inlineStr">
        <is>
          <t>value read from GitHub mirror: github.com/axtex/255-AI data/processed/bls/bls_cleaned.csv (TOT_EMP_2019, from oesm19nat); wage from github.com/KNguyen37/h1b-econ-paper panel</t>
        </is>
      </c>
    </row>
    <row r="51">
      <c r="A51" t="inlineStr">
        <is>
          <t>ws2_seat_compression</t>
        </is>
      </c>
      <c r="B51" t="inlineStr">
        <is>
          <t>BLS OEWS national employment, 13-1161 Market Research Analysts and Marketing Specialists, May 2020</t>
        </is>
      </c>
      <c r="C51" t="inlineStr">
        <is>
          <t>690160</t>
        </is>
      </c>
      <c r="D51" t="inlineStr">
        <is>
          <t>https://www.bls.gov/oes/2020/may/oes131161.htm</t>
        </is>
      </c>
      <c r="E51" t="inlineStr">
        <is>
          <t>2026-10-02</t>
        </is>
      </c>
      <c r="F51" t="inlineStr">
        <is>
          <t>value read from GitHub mirror: github.com/ericsson-c/DMT-homework2 occupations-truncated.csv (May 2020 national table); 6 of 7 values cross-checked vs WebSearch snippets of bls.gov pages</t>
        </is>
      </c>
    </row>
    <row r="52">
      <c r="A52" t="inlineStr">
        <is>
          <t>ws2_seat_compression</t>
        </is>
      </c>
      <c r="B52" t="inlineStr">
        <is>
          <t>BLS OEWS national employment, 13-1161 Market Research Analysts and Marketing Specialists, May 2021</t>
        </is>
      </c>
      <c r="C52" t="inlineStr">
        <is>
          <t>727540</t>
        </is>
      </c>
      <c r="D52" t="inlineStr">
        <is>
          <t>https://www.bls.gov/oes/2021/may/oes131161.htm</t>
        </is>
      </c>
      <c r="E52" t="inlineStr">
        <is>
          <t>2026-10-02</t>
        </is>
      </c>
      <c r="F52" t="inlineStr">
        <is>
          <t>value read from GitHub mirror: github.com/openai/GPTs-are-GPTs data/national_May2021_dl.csv (verbatim BLS national_M2021_dl)</t>
        </is>
      </c>
    </row>
    <row r="53">
      <c r="A53" t="inlineStr">
        <is>
          <t>ws2_seat_compression</t>
        </is>
      </c>
      <c r="B53" t="inlineStr">
        <is>
          <t>BLS OEWS national employment, 13-1161 Market Research Analysts and Marketing Specialists, May 2022</t>
        </is>
      </c>
      <c r="C53" t="inlineStr">
        <is>
          <t>798620</t>
        </is>
      </c>
      <c r="D53" t="inlineStr">
        <is>
          <t>https://www.bls.gov/oes/2022/may/oes131161.htm</t>
        </is>
      </c>
      <c r="E53" t="inlineStr">
        <is>
          <t>2026-10-02</t>
        </is>
      </c>
      <c r="F53" t="inlineStr">
        <is>
          <t>value read from GitHub mirror: github.com/arieldklein/ai-employment-paper data_clean/bls_2022_clean.csv (from oesm22nat.zip); matches augw999 and axtex mirrors</t>
        </is>
      </c>
    </row>
    <row r="54">
      <c r="A54" t="inlineStr">
        <is>
          <t>ws2_seat_compression</t>
        </is>
      </c>
      <c r="B54" t="inlineStr">
        <is>
          <t>BLS OEWS national employment, 13-1161 Market Research Analysts and Marketing Specialists, May 2023</t>
        </is>
      </c>
      <c r="C54" t="inlineStr">
        <is>
          <t>846370</t>
        </is>
      </c>
      <c r="D54" t="inlineStr">
        <is>
          <t>https://www.bls.gov/oes/2023/may/oes131161.htm</t>
        </is>
      </c>
      <c r="E54" t="inlineStr">
        <is>
          <t>2026-10-02</t>
        </is>
      </c>
      <c r="F54" t="inlineStr">
        <is>
          <t>value read from GitHub mirror: github.com/augw999/ai-labor-market-impact_analysis cleaned_data_2023.csv; 6 of 7 values cross-checked vs WebSearch snippets of bls.gov pages; wage from KNguyen37 panel</t>
        </is>
      </c>
    </row>
    <row r="55">
      <c r="A55" t="inlineStr">
        <is>
          <t>ws2_seat_compression</t>
        </is>
      </c>
      <c r="B55" t="inlineStr">
        <is>
          <t>BLS OEWS national employment, 13-1161 Market Research Analysts and Marketing Specialists, May 2024</t>
        </is>
      </c>
      <c r="C55" t="inlineStr">
        <is>
          <t>861140</t>
        </is>
      </c>
      <c r="D55" t="inlineStr">
        <is>
          <t>https://www.bls.gov/oes/2024/may/oes131161.htm</t>
        </is>
      </c>
      <c r="E55" t="inlineStr">
        <is>
          <t>2026-10-02</t>
        </is>
      </c>
      <c r="F55" t="inlineStr">
        <is>
          <t>value read from GitHub mirror: github.com/Budget-Lab-Yale/AI-Employment-Model resources/national_M2024_dl.csv (verbatim BLS national_M2024_dl); matches theodorewright11 and augw999 mirrors</t>
        </is>
      </c>
    </row>
    <row r="56">
      <c r="A56" t="inlineStr">
        <is>
          <t>ws2_seat_compression</t>
        </is>
      </c>
      <c r="B56" t="inlineStr">
        <is>
          <t>BLS OEWS national employment, 13-1161 Market Research Analysts and Marketing Specialists, May 2025</t>
        </is>
      </c>
      <c r="C56" t="inlineStr">
        <is>
          <t>899580</t>
        </is>
      </c>
      <c r="D56" t="inlineStr">
        <is>
          <t>https://www.bls.gov/oes/2025/may/oes131161.htm</t>
        </is>
      </c>
      <c r="E56" t="inlineStr">
        <is>
          <t>2026-10-02</t>
        </is>
      </c>
      <c r="F56" t="inlineStr">
        <is>
          <t>value read from GitHub mirror: github.com/theodorewright11/ai-workforce-exposure-dataset-construction-public data/oews_national_2025.csv (verbatim BLS national_M2025_dl); matches arieldklein bls_2025_clean.csv; GD/AD/MM cross-checked vs WebSearch</t>
        </is>
      </c>
    </row>
    <row r="57">
      <c r="A57" t="inlineStr">
        <is>
          <t>ws2_seat_compression</t>
        </is>
      </c>
      <c r="B57" t="inlineStr">
        <is>
          <t>BLS OEWS national employment, 27-1011 Art Directors, May 2019</t>
        </is>
      </c>
      <c r="C57" t="inlineStr">
        <is>
          <t>42890</t>
        </is>
      </c>
      <c r="D57" t="inlineStr">
        <is>
          <t>https://www.bls.gov/oes/2019/may/oes271011.htm</t>
        </is>
      </c>
      <c r="E57" t="inlineStr">
        <is>
          <t>2026-10-02</t>
        </is>
      </c>
      <c r="F57" t="inlineStr">
        <is>
          <t>value read from GitHub mirror: github.com/axtex/255-AI data/processed/bls/bls_cleaned.csv (TOT_EMP_2019, from oesm19nat); wage from github.com/KNguyen37/h1b-econ-paper panel</t>
        </is>
      </c>
    </row>
    <row r="58">
      <c r="A58" t="inlineStr">
        <is>
          <t>ws2_seat_compression</t>
        </is>
      </c>
      <c r="B58" t="inlineStr">
        <is>
          <t>BLS OEWS national employment, 27-1011 Art Directors, May 2020</t>
        </is>
      </c>
      <c r="C58" t="inlineStr">
        <is>
          <t>40950</t>
        </is>
      </c>
      <c r="D58" t="inlineStr">
        <is>
          <t>https://www.bls.gov/oes/2020/may/oes271011.htm</t>
        </is>
      </c>
      <c r="E58" t="inlineStr">
        <is>
          <t>2026-10-02</t>
        </is>
      </c>
      <c r="F58" t="inlineStr">
        <is>
          <t>value read from GitHub mirror: github.com/ericsson-c/DMT-homework2 occupations-truncated.csv (May 2020 national table); 6 of 7 values cross-checked vs WebSearch snippets of bls.gov pages</t>
        </is>
      </c>
    </row>
    <row r="59">
      <c r="A59" t="inlineStr">
        <is>
          <t>ws2_seat_compression</t>
        </is>
      </c>
      <c r="B59" t="inlineStr">
        <is>
          <t>BLS OEWS national employment, 27-1011 Art Directors, May 2021</t>
        </is>
      </c>
      <c r="C59" t="inlineStr">
        <is>
          <t>42080</t>
        </is>
      </c>
      <c r="D59" t="inlineStr">
        <is>
          <t>https://www.bls.gov/oes/2021/may/oes271011.htm</t>
        </is>
      </c>
      <c r="E59" t="inlineStr">
        <is>
          <t>2026-10-02</t>
        </is>
      </c>
      <c r="F59" t="inlineStr">
        <is>
          <t>value read from GitHub mirror: github.com/openai/GPTs-are-GPTs data/national_May2021_dl.csv (verbatim BLS national_M2021_dl)</t>
        </is>
      </c>
    </row>
    <row r="60">
      <c r="A60" t="inlineStr">
        <is>
          <t>ws2_seat_compression</t>
        </is>
      </c>
      <c r="B60" t="inlineStr">
        <is>
          <t>BLS OEWS national employment, 27-1011 Art Directors, May 2022</t>
        </is>
      </c>
      <c r="C60" t="inlineStr">
        <is>
          <t>54470</t>
        </is>
      </c>
      <c r="D60" t="inlineStr">
        <is>
          <t>https://www.bls.gov/oes/2022/may/oes271011.htm</t>
        </is>
      </c>
      <c r="E60" t="inlineStr">
        <is>
          <t>2026-10-02</t>
        </is>
      </c>
      <c r="F60" t="inlineStr">
        <is>
          <t>value read from GitHub mirror: github.com/arieldklein/ai-employment-paper data_clean/bls_2022_clean.csv (from oesm22nat.zip); matches augw999 and axtex mirrors</t>
        </is>
      </c>
    </row>
    <row r="61">
      <c r="A61" t="inlineStr">
        <is>
          <t>ws2_seat_compression</t>
        </is>
      </c>
      <c r="B61" t="inlineStr">
        <is>
          <t>BLS OEWS national employment, 27-1011 Art Directors, May 2023</t>
        </is>
      </c>
      <c r="C61" t="inlineStr">
        <is>
          <t>51200</t>
        </is>
      </c>
      <c r="D61" t="inlineStr">
        <is>
          <t>https://www.bls.gov/oes/2023/may/oes271011.htm</t>
        </is>
      </c>
      <c r="E61" t="inlineStr">
        <is>
          <t>2026-10-02</t>
        </is>
      </c>
      <c r="F61" t="inlineStr">
        <is>
          <t>value read from GitHub mirror: github.com/augw999/ai-labor-market-impact_analysis cleaned_data_2023.csv; 6 of 7 values cross-checked vs WebSearch snippets of bls.gov pages; wage from KNguyen37 panel</t>
        </is>
      </c>
    </row>
    <row r="62">
      <c r="A62" t="inlineStr">
        <is>
          <t>ws2_seat_compression</t>
        </is>
      </c>
      <c r="B62" t="inlineStr">
        <is>
          <t>BLS OEWS national employment, 27-1011 Art Directors, May 2024</t>
        </is>
      </c>
      <c r="C62" t="inlineStr">
        <is>
          <t>50370</t>
        </is>
      </c>
      <c r="D62" t="inlineStr">
        <is>
          <t>https://www.bls.gov/oes/2024/may/oes271011.htm</t>
        </is>
      </c>
      <c r="E62" t="inlineStr">
        <is>
          <t>2026-10-02</t>
        </is>
      </c>
      <c r="F62" t="inlineStr">
        <is>
          <t>value read from GitHub mirror: github.com/Budget-Lab-Yale/AI-Employment-Model resources/national_M2024_dl.csv (verbatim BLS national_M2024_dl); matches theodorewright11 and augw999 mirrors</t>
        </is>
      </c>
    </row>
    <row r="63">
      <c r="A63" t="inlineStr">
        <is>
          <t>ws2_seat_compression</t>
        </is>
      </c>
      <c r="B63" t="inlineStr">
        <is>
          <t>BLS OEWS national employment, 27-1011 Art Directors, May 2025</t>
        </is>
      </c>
      <c r="C63" t="inlineStr">
        <is>
          <t>53070</t>
        </is>
      </c>
      <c r="D63" t="inlineStr">
        <is>
          <t>https://www.bls.gov/oes/2025/may/oes271011.htm</t>
        </is>
      </c>
      <c r="E63" t="inlineStr">
        <is>
          <t>2026-10-02</t>
        </is>
      </c>
      <c r="F63" t="inlineStr">
        <is>
          <t>value read from GitHub mirror: github.com/theodorewright11/ai-workforce-exposure-dataset-construction-public data/oews_national_2025.csv (verbatim BLS national_M2025_dl); matches arieldklein bls_2025_clean.csv; GD/AD/MM cross-checked vs WebSearch</t>
        </is>
      </c>
    </row>
    <row r="64">
      <c r="A64" t="inlineStr">
        <is>
          <t>ws2_seat_compression</t>
        </is>
      </c>
      <c r="B64" t="inlineStr">
        <is>
          <t>BLS OEWS national employment, 27-1014 Special Effects Artists and Animators, May 2019</t>
        </is>
      </c>
      <c r="C64" t="inlineStr">
        <is>
          <t>29340</t>
        </is>
      </c>
      <c r="D64" t="inlineStr">
        <is>
          <t>https://www.bls.gov/oes/2019/may/oes271014.htm</t>
        </is>
      </c>
      <c r="E64" t="inlineStr">
        <is>
          <t>2026-10-02</t>
        </is>
      </c>
      <c r="F64" t="inlineStr">
        <is>
          <t>value read from GitHub mirror: github.com/axtex/255-AI data/processed/bls/bls_cleaned.csv (TOT_EMP_2019, from oesm19nat); wage from github.com/KNguyen37/h1b-econ-paper panel</t>
        </is>
      </c>
    </row>
    <row r="65">
      <c r="A65" t="inlineStr">
        <is>
          <t>ws2_seat_compression</t>
        </is>
      </c>
      <c r="B65" t="inlineStr">
        <is>
          <t>BLS OEWS national employment, 27-1014 Special Effects Artists and Animators, May 2020</t>
        </is>
      </c>
      <c r="C65" t="inlineStr">
        <is>
          <t>26460</t>
        </is>
      </c>
      <c r="D65" t="inlineStr">
        <is>
          <t>https://www.bls.gov/oes/2020/may/oes271014.htm</t>
        </is>
      </c>
      <c r="E65" t="inlineStr">
        <is>
          <t>2026-10-02</t>
        </is>
      </c>
      <c r="F65" t="inlineStr">
        <is>
          <t>value read from GitHub mirror: github.com/ericsson-c/DMT-homework2 occupations-truncated.csv (May 2020 national table); 6 of 7 values cross-checked vs WebSearch snippets of bls.gov pages</t>
        </is>
      </c>
    </row>
    <row r="66">
      <c r="A66" t="inlineStr">
        <is>
          <t>ws2_seat_compression</t>
        </is>
      </c>
      <c r="B66" t="inlineStr">
        <is>
          <t>BLS OEWS national employment, 27-1014 Special Effects Artists and Animators, May 2021</t>
        </is>
      </c>
      <c r="C66" t="inlineStr">
        <is>
          <t>20430</t>
        </is>
      </c>
      <c r="D66" t="inlineStr">
        <is>
          <t>https://www.bls.gov/oes/2021/may/oes271014.htm</t>
        </is>
      </c>
      <c r="E66" t="inlineStr">
        <is>
          <t>2026-10-02</t>
        </is>
      </c>
      <c r="F66" t="inlineStr">
        <is>
          <t>value read from GitHub mirror: github.com/openai/GPTs-are-GPTs data/national_May2021_dl.csv (verbatim BLS national_M2021_dl)</t>
        </is>
      </c>
    </row>
    <row r="67">
      <c r="A67" t="inlineStr">
        <is>
          <t>ws2_seat_compression</t>
        </is>
      </c>
      <c r="B67" t="inlineStr">
        <is>
          <t>BLS OEWS national employment, 27-1014 Special Effects Artists and Animators, May 2022</t>
        </is>
      </c>
      <c r="C67" t="inlineStr">
        <is>
          <t>35990</t>
        </is>
      </c>
      <c r="D67" t="inlineStr">
        <is>
          <t>https://www.bls.gov/oes/2022/may/oes271014.htm</t>
        </is>
      </c>
      <c r="E67" t="inlineStr">
        <is>
          <t>2026-10-02</t>
        </is>
      </c>
      <c r="F67" t="inlineStr">
        <is>
          <t>value read from GitHub mirror: github.com/arieldklein/ai-employment-paper data_clean/bls_2022_clean.csv (from oesm22nat.zip); matches augw999 and axtex mirrors</t>
        </is>
      </c>
    </row>
    <row r="68">
      <c r="A68" t="inlineStr">
        <is>
          <t>ws2_seat_compression</t>
        </is>
      </c>
      <c r="B68" t="inlineStr">
        <is>
          <t>BLS OEWS national employment, 27-1014 Special Effects Artists and Animators, May 2023</t>
        </is>
      </c>
      <c r="C68" t="inlineStr">
        <is>
          <t>29940</t>
        </is>
      </c>
      <c r="D68" t="inlineStr">
        <is>
          <t>https://www.bls.gov/oes/2023/may/oes271014.htm</t>
        </is>
      </c>
      <c r="E68" t="inlineStr">
        <is>
          <t>2026-10-02</t>
        </is>
      </c>
      <c r="F68" t="inlineStr">
        <is>
          <t>value read from GitHub mirror: github.com/augw999/ai-labor-market-impact_analysis cleaned_data_2023.csv; 6 of 7 values cross-checked vs WebSearch snippets of bls.gov pages; wage from KNguyen37 panel</t>
        </is>
      </c>
    </row>
    <row r="69">
      <c r="A69" t="inlineStr">
        <is>
          <t>ws2_seat_compression</t>
        </is>
      </c>
      <c r="B69" t="inlineStr">
        <is>
          <t>BLS OEWS national employment, 27-1014 Special Effects Artists and Animators, May 2024</t>
        </is>
      </c>
      <c r="C69" t="inlineStr">
        <is>
          <t>21280</t>
        </is>
      </c>
      <c r="D69" t="inlineStr">
        <is>
          <t>https://www.bls.gov/oes/2024/may/oes271014.htm</t>
        </is>
      </c>
      <c r="E69" t="inlineStr">
        <is>
          <t>2026-10-02</t>
        </is>
      </c>
      <c r="F69" t="inlineStr">
        <is>
          <t>value read from GitHub mirror: github.com/Budget-Lab-Yale/AI-Employment-Model resources/national_M2024_dl.csv (verbatim BLS national_M2024_dl); matches theodorewright11 and augw999 mirrors</t>
        </is>
      </c>
    </row>
    <row r="70">
      <c r="A70" t="inlineStr">
        <is>
          <t>ws2_seat_compression</t>
        </is>
      </c>
      <c r="B70" t="inlineStr">
        <is>
          <t>BLS OEWS national employment, 27-1014 Special Effects Artists and Animators, May 2025</t>
        </is>
      </c>
      <c r="C70" t="inlineStr">
        <is>
          <t>19970</t>
        </is>
      </c>
      <c r="D70" t="inlineStr">
        <is>
          <t>https://www.bls.gov/oes/2025/may/oes271014.htm</t>
        </is>
      </c>
      <c r="E70" t="inlineStr">
        <is>
          <t>2026-10-02</t>
        </is>
      </c>
      <c r="F70" t="inlineStr">
        <is>
          <t>value read from GitHub mirror: github.com/theodorewright11/ai-workforce-exposure-dataset-construction-public data/oews_national_2025.csv (verbatim BLS national_M2025_dl); matches arieldklein bls_2025_clean.csv; GD/AD/MM cross-checked vs WebSearch</t>
        </is>
      </c>
    </row>
    <row r="71">
      <c r="A71" t="inlineStr">
        <is>
          <t>ws2_seat_compression</t>
        </is>
      </c>
      <c r="B71" t="inlineStr">
        <is>
          <t>BLS OEWS national employment, 27-1024 Graphic Designers, May 2019</t>
        </is>
      </c>
      <c r="C71" t="inlineStr">
        <is>
          <t>215930</t>
        </is>
      </c>
      <c r="D71" t="inlineStr">
        <is>
          <t>https://www.bls.gov/oes/2019/may/oes271024.htm</t>
        </is>
      </c>
      <c r="E71" t="inlineStr">
        <is>
          <t>2026-10-02</t>
        </is>
      </c>
      <c r="F71" t="inlineStr">
        <is>
          <t>value read from GitHub mirror: github.com/axtex/255-AI data/processed/bls/bls_cleaned.csv (TOT_EMP_2019, from oesm19nat); wage from github.com/KNguyen37/h1b-econ-paper panel</t>
        </is>
      </c>
    </row>
    <row r="72">
      <c r="A72" t="inlineStr">
        <is>
          <t>ws2_seat_compression</t>
        </is>
      </c>
      <c r="B72" t="inlineStr">
        <is>
          <t>BLS OEWS national employment, 27-1024 Graphic Designers, May 2020</t>
        </is>
      </c>
      <c r="C72" t="inlineStr">
        <is>
          <t>201440</t>
        </is>
      </c>
      <c r="D72" t="inlineStr">
        <is>
          <t>https://www.bls.gov/oes/2020/may/oes271024.htm</t>
        </is>
      </c>
      <c r="E72" t="inlineStr">
        <is>
          <t>2026-10-02</t>
        </is>
      </c>
      <c r="F72" t="inlineStr">
        <is>
          <t>value read from GitHub mirror: github.com/ericsson-c/DMT-homework2 occupations-truncated.csv (May 2020 national table); 6 of 7 values cross-checked vs WebSearch snippets of bls.gov pages</t>
        </is>
      </c>
    </row>
    <row r="73">
      <c r="A73" t="inlineStr">
        <is>
          <t>ws2_seat_compression</t>
        </is>
      </c>
      <c r="B73" t="inlineStr">
        <is>
          <t>BLS OEWS national employment, 27-1024 Graphic Designers, May 2021</t>
        </is>
      </c>
      <c r="C73" t="inlineStr">
        <is>
          <t>204040</t>
        </is>
      </c>
      <c r="D73" t="inlineStr">
        <is>
          <t>https://www.bls.gov/oes/2021/may/oes271024.htm</t>
        </is>
      </c>
      <c r="E73" t="inlineStr">
        <is>
          <t>2026-10-02</t>
        </is>
      </c>
      <c r="F73" t="inlineStr">
        <is>
          <t>value read from GitHub mirror: github.com/openai/GPTs-are-GPTs data/national_May2021_dl.csv (verbatim BLS national_M2021_dl)</t>
        </is>
      </c>
    </row>
    <row r="74">
      <c r="A74" t="inlineStr">
        <is>
          <t>ws2_seat_compression</t>
        </is>
      </c>
      <c r="B74" t="inlineStr">
        <is>
          <t>BLS OEWS national employment, 27-1024 Graphic Designers, May 2022</t>
        </is>
      </c>
      <c r="C74" t="inlineStr">
        <is>
          <t>211890</t>
        </is>
      </c>
      <c r="D74" t="inlineStr">
        <is>
          <t>https://www.bls.gov/oes/2022/may/oes271024.htm</t>
        </is>
      </c>
      <c r="E74" t="inlineStr">
        <is>
          <t>2026-10-02</t>
        </is>
      </c>
      <c r="F74" t="inlineStr">
        <is>
          <t>value read from GitHub mirror: github.com/arieldklein/ai-employment-paper data_clean/bls_2022_clean.csv (from oesm22nat.zip); matches augw999 and axtex mirrors</t>
        </is>
      </c>
    </row>
    <row r="75">
      <c r="A75" t="inlineStr">
        <is>
          <t>ws2_seat_compression</t>
        </is>
      </c>
      <c r="B75" t="inlineStr">
        <is>
          <t>BLS OEWS national employment, 27-1024 Graphic Designers, May 2023</t>
        </is>
      </c>
      <c r="C75" t="inlineStr">
        <is>
          <t>212720</t>
        </is>
      </c>
      <c r="D75" t="inlineStr">
        <is>
          <t>https://www.bls.gov/oes/2023/may/oes271024.htm</t>
        </is>
      </c>
      <c r="E75" t="inlineStr">
        <is>
          <t>2026-10-02</t>
        </is>
      </c>
      <c r="F75" t="inlineStr">
        <is>
          <t>value read from GitHub mirror: github.com/augw999/ai-labor-market-impact_analysis cleaned_data_2023.csv; 6 of 7 values cross-checked vs WebSearch snippets of bls.gov pages; wage from KNguyen37 panel</t>
        </is>
      </c>
    </row>
    <row r="76">
      <c r="A76" t="inlineStr">
        <is>
          <t>ws2_seat_compression</t>
        </is>
      </c>
      <c r="B76" t="inlineStr">
        <is>
          <t>BLS OEWS national employment, 27-1024 Graphic Designers, May 2024</t>
        </is>
      </c>
      <c r="C76" t="inlineStr">
        <is>
          <t>214260</t>
        </is>
      </c>
      <c r="D76" t="inlineStr">
        <is>
          <t>https://www.bls.gov/oes/2024/may/oes271024.htm</t>
        </is>
      </c>
      <c r="E76" t="inlineStr">
        <is>
          <t>2026-10-02</t>
        </is>
      </c>
      <c r="F76" t="inlineStr">
        <is>
          <t>value read from GitHub mirror: github.com/Budget-Lab-Yale/AI-Employment-Model resources/national_M2024_dl.csv (verbatim BLS national_M2024_dl); matches theodorewright11 and augw999 mirrors</t>
        </is>
      </c>
    </row>
    <row r="77">
      <c r="A77" t="inlineStr">
        <is>
          <t>ws2_seat_compression</t>
        </is>
      </c>
      <c r="B77" t="inlineStr">
        <is>
          <t>BLS OEWS national employment, 27-1024 Graphic Designers, May 2025</t>
        </is>
      </c>
      <c r="C77" t="inlineStr">
        <is>
          <t>197830</t>
        </is>
      </c>
      <c r="D77" t="inlineStr">
        <is>
          <t>https://www.bls.gov/oes/2025/may/oes271024.htm</t>
        </is>
      </c>
      <c r="E77" t="inlineStr">
        <is>
          <t>2026-10-02</t>
        </is>
      </c>
      <c r="F77" t="inlineStr">
        <is>
          <t>value read from GitHub mirror: github.com/theodorewright11/ai-workforce-exposure-dataset-construction-public data/oews_national_2025.csv (verbatim BLS national_M2025_dl); matches arieldklein bls_2025_clean.csv; GD/AD/MM cross-checked vs WebSearch</t>
        </is>
      </c>
    </row>
    <row r="78">
      <c r="A78" t="inlineStr">
        <is>
          <t>ws2_seat_compression</t>
        </is>
      </c>
      <c r="B78" t="inlineStr">
        <is>
          <t>BLS OEWS national employment, 27-4021 Photographers, May 2019</t>
        </is>
      </c>
      <c r="C78" t="inlineStr">
        <is>
          <t>50620</t>
        </is>
      </c>
      <c r="D78" t="inlineStr">
        <is>
          <t>https://www.bls.gov/oes/2019/may/oes274021.htm</t>
        </is>
      </c>
      <c r="E78" t="inlineStr">
        <is>
          <t>2026-10-02</t>
        </is>
      </c>
      <c r="F78" t="inlineStr">
        <is>
          <t>value read from GitHub mirror: github.com/axtex/255-AI data/processed/bls/bls_cleaned.csv (TOT_EMP_2019, from oesm19nat); wage from github.com/KNguyen37/h1b-econ-paper panel</t>
        </is>
      </c>
    </row>
    <row r="79">
      <c r="A79" t="inlineStr">
        <is>
          <t>ws2_seat_compression</t>
        </is>
      </c>
      <c r="B79" t="inlineStr">
        <is>
          <t>BLS OEWS national employment, 27-4021 Photographers, May 2020</t>
        </is>
      </c>
      <c r="C79" t="inlineStr">
        <is>
          <t>41600</t>
        </is>
      </c>
      <c r="D79" t="inlineStr">
        <is>
          <t>https://www.bls.gov/oes/2020/may/oes274021.htm</t>
        </is>
      </c>
      <c r="E79" t="inlineStr">
        <is>
          <t>2026-10-02</t>
        </is>
      </c>
      <c r="F79" t="inlineStr">
        <is>
          <t>value read from GitHub mirror: github.com/ericsson-c/DMT-homework2 occupations-truncated.csv (May 2020 national table); 6 of 7 values cross-checked vs WebSearch snippets of bls.gov pages</t>
        </is>
      </c>
    </row>
    <row r="80">
      <c r="A80" t="inlineStr">
        <is>
          <t>ws2_seat_compression</t>
        </is>
      </c>
      <c r="B80" t="inlineStr">
        <is>
          <t>BLS OEWS national employment, 27-4021 Photographers, May 2021</t>
        </is>
      </c>
      <c r="C80" t="inlineStr">
        <is>
          <t>38420</t>
        </is>
      </c>
      <c r="D80" t="inlineStr">
        <is>
          <t>https://www.bls.gov/oes/2021/may/oes274021.htm</t>
        </is>
      </c>
      <c r="E80" t="inlineStr">
        <is>
          <t>2026-10-02</t>
        </is>
      </c>
      <c r="F80" t="inlineStr">
        <is>
          <t>value read from GitHub mirror: github.com/openai/GPTs-are-GPTs data/national_May2021_dl.csv (verbatim BLS national_M2021_dl)</t>
        </is>
      </c>
    </row>
    <row r="81">
      <c r="A81" t="inlineStr">
        <is>
          <t>ws2_seat_compression</t>
        </is>
      </c>
      <c r="B81" t="inlineStr">
        <is>
          <t>BLS OEWS national employment, 27-4021 Photographers, May 2022</t>
        </is>
      </c>
      <c r="C81" t="inlineStr">
        <is>
          <t>47380</t>
        </is>
      </c>
      <c r="D81" t="inlineStr">
        <is>
          <t>https://www.bls.gov/oes/2022/may/oes274021.htm</t>
        </is>
      </c>
      <c r="E81" t="inlineStr">
        <is>
          <t>2026-10-02</t>
        </is>
      </c>
      <c r="F81" t="inlineStr">
        <is>
          <t>value read from GitHub mirror: github.com/arieldklein/ai-employment-paper data_clean/bls_2022_clean.csv (from oesm22nat.zip); matches augw999 and axtex mirrors</t>
        </is>
      </c>
    </row>
    <row r="82">
      <c r="A82" t="inlineStr">
        <is>
          <t>ws2_seat_compression</t>
        </is>
      </c>
      <c r="B82" t="inlineStr">
        <is>
          <t>BLS OEWS national employment, 27-4021 Photographers, May 2023</t>
        </is>
      </c>
      <c r="C82" t="inlineStr">
        <is>
          <t>53630</t>
        </is>
      </c>
      <c r="D82" t="inlineStr">
        <is>
          <t>https://www.bls.gov/oes/2023/may/oes274021.htm</t>
        </is>
      </c>
      <c r="E82" t="inlineStr">
        <is>
          <t>2026-10-02</t>
        </is>
      </c>
      <c r="F82" t="inlineStr">
        <is>
          <t>value read from GitHub mirror: github.com/augw999/ai-labor-market-impact_analysis cleaned_data_2023.csv; 6 of 7 values cross-checked vs WebSearch snippets of bls.gov pages; wage from KNguyen37 panel</t>
        </is>
      </c>
    </row>
    <row r="83">
      <c r="A83" t="inlineStr">
        <is>
          <t>ws2_seat_compression</t>
        </is>
      </c>
      <c r="B83" t="inlineStr">
        <is>
          <t>BLS OEWS national employment, 27-4021 Photographers, May 2024</t>
        </is>
      </c>
      <c r="C83" t="inlineStr">
        <is>
          <t>51230</t>
        </is>
      </c>
      <c r="D83" t="inlineStr">
        <is>
          <t>https://www.bls.gov/oes/2024/may/oes274021.htm</t>
        </is>
      </c>
      <c r="E83" t="inlineStr">
        <is>
          <t>2026-10-02</t>
        </is>
      </c>
      <c r="F83" t="inlineStr">
        <is>
          <t>value read from GitHub mirror: github.com/Budget-Lab-Yale/AI-Employment-Model resources/national_M2024_dl.csv (verbatim BLS national_M2024_dl); matches theodorewright11 and augw999 mirrors</t>
        </is>
      </c>
    </row>
    <row r="84">
      <c r="A84" t="inlineStr">
        <is>
          <t>ws2_seat_compression</t>
        </is>
      </c>
      <c r="B84" t="inlineStr">
        <is>
          <t>BLS OEWS national employment, 27-4021 Photographers, May 2025</t>
        </is>
      </c>
      <c r="C84" t="inlineStr">
        <is>
          <t>51760</t>
        </is>
      </c>
      <c r="D84" t="inlineStr">
        <is>
          <t>https://www.bls.gov/oes/2025/may/oes274021.htm</t>
        </is>
      </c>
      <c r="E84" t="inlineStr">
        <is>
          <t>2026-10-02</t>
        </is>
      </c>
      <c r="F84" t="inlineStr">
        <is>
          <t>value read from GitHub mirror: github.com/theodorewright11/ai-workforce-exposure-dataset-construction-public data/oews_national_2025.csv (verbatim BLS national_M2025_dl); matches arieldklein bls_2025_clean.csv; GD/AD/MM cross-checked vs WebSearch</t>
        </is>
      </c>
    </row>
    <row r="85">
      <c r="A85" t="inlineStr">
        <is>
          <t>ws2_seat_compression</t>
        </is>
      </c>
      <c r="B85" t="inlineStr">
        <is>
          <t>BLS OEWS national employment, 27-4032 Film and Video Editors, May 2019</t>
        </is>
      </c>
      <c r="C85" t="inlineStr">
        <is>
          <t>27570</t>
        </is>
      </c>
      <c r="D85" t="inlineStr">
        <is>
          <t>https://www.bls.gov/oes/2019/may/oes274032.htm</t>
        </is>
      </c>
      <c r="E85" t="inlineStr">
        <is>
          <t>2026-10-02</t>
        </is>
      </c>
      <c r="F85" t="inlineStr">
        <is>
          <t>value read from GitHub mirror: github.com/axtex/255-AI data/processed/bls/bls_cleaned.csv (TOT_EMP_2019, from oesm19nat); wage from github.com/KNguyen37/h1b-econ-paper panel</t>
        </is>
      </c>
    </row>
    <row r="86">
      <c r="A86" t="inlineStr">
        <is>
          <t>ws2_seat_compression</t>
        </is>
      </c>
      <c r="B86" t="inlineStr">
        <is>
          <t>BLS OEWS national employment, 27-4032 Film and Video Editors, May 2020</t>
        </is>
      </c>
      <c r="C86" t="inlineStr">
        <is>
          <t>22410</t>
        </is>
      </c>
      <c r="D86" t="inlineStr">
        <is>
          <t>https://www.bls.gov/oes/2020/may/oes274032.htm</t>
        </is>
      </c>
      <c r="E86" t="inlineStr">
        <is>
          <t>2026-10-02</t>
        </is>
      </c>
      <c r="F86" t="inlineStr">
        <is>
          <t>value read from GitHub mirror: github.com/ericsson-c/DMT-homework2 occupations-truncated.csv (May 2020 national table); 6 of 7 values cross-checked vs WebSearch snippets of bls.gov pages</t>
        </is>
      </c>
    </row>
    <row r="87">
      <c r="A87" t="inlineStr">
        <is>
          <t>ws2_seat_compression</t>
        </is>
      </c>
      <c r="B87" t="inlineStr">
        <is>
          <t>BLS OEWS national employment, 27-4032 Film and Video Editors, May 2021</t>
        </is>
      </c>
      <c r="C87" t="inlineStr">
        <is>
          <t>28030</t>
        </is>
      </c>
      <c r="D87" t="inlineStr">
        <is>
          <t>https://www.bls.gov/oes/2021/may/oes274032.htm</t>
        </is>
      </c>
      <c r="E87" t="inlineStr">
        <is>
          <t>2026-10-02</t>
        </is>
      </c>
      <c r="F87" t="inlineStr">
        <is>
          <t>value read from GitHub mirror: github.com/openai/GPTs-are-GPTs data/national_May2021_dl.csv (verbatim BLS national_M2021_dl)</t>
        </is>
      </c>
    </row>
    <row r="88">
      <c r="A88" t="inlineStr">
        <is>
          <t>ws2_seat_compression</t>
        </is>
      </c>
      <c r="B88" t="inlineStr">
        <is>
          <t>BLS OEWS national employment, 27-4032 Film and Video Editors, May 2022</t>
        </is>
      </c>
      <c r="C88" t="inlineStr">
        <is>
          <t>32080</t>
        </is>
      </c>
      <c r="D88" t="inlineStr">
        <is>
          <t>https://www.bls.gov/oes/2022/may/oes274032.htm</t>
        </is>
      </c>
      <c r="E88" t="inlineStr">
        <is>
          <t>2026-10-02</t>
        </is>
      </c>
      <c r="F88" t="inlineStr">
        <is>
          <t>value read from GitHub mirror: github.com/arieldklein/ai-employment-paper data_clean/bls_2022_clean.csv (from oesm22nat.zip); matches augw999 and axtex mirrors</t>
        </is>
      </c>
    </row>
    <row r="89">
      <c r="A89" t="inlineStr">
        <is>
          <t>ws2_seat_compression</t>
        </is>
      </c>
      <c r="B89" t="inlineStr">
        <is>
          <t>BLS OEWS national employment, 27-4032 Film and Video Editors, May 2023</t>
        </is>
      </c>
      <c r="C89" t="inlineStr">
        <is>
          <t>29240</t>
        </is>
      </c>
      <c r="D89" t="inlineStr">
        <is>
          <t>https://www.bls.gov/oes/2023/may/oes274032.htm</t>
        </is>
      </c>
      <c r="E89" t="inlineStr">
        <is>
          <t>2026-10-02</t>
        </is>
      </c>
      <c r="F89" t="inlineStr">
        <is>
          <t>value read from GitHub mirror: github.com/augw999/ai-labor-market-impact_analysis cleaned_data_2023.csv; 6 of 7 values cross-checked vs WebSearch snippets of bls.gov pages; wage from KNguyen37 panel</t>
        </is>
      </c>
    </row>
    <row r="90">
      <c r="A90" t="inlineStr">
        <is>
          <t>ws2_seat_compression</t>
        </is>
      </c>
      <c r="B90" t="inlineStr">
        <is>
          <t>BLS OEWS national employment, 27-4032 Film and Video Editors, May 2024</t>
        </is>
      </c>
      <c r="C90" t="inlineStr">
        <is>
          <t>28860</t>
        </is>
      </c>
      <c r="D90" t="inlineStr">
        <is>
          <t>https://www.bls.gov/oes/2024/may/oes274032.htm</t>
        </is>
      </c>
      <c r="E90" t="inlineStr">
        <is>
          <t>2026-10-02</t>
        </is>
      </c>
      <c r="F90" t="inlineStr">
        <is>
          <t>value read from GitHub mirror: github.com/Budget-Lab-Yale/AI-Employment-Model resources/national_M2024_dl.csv (verbatim BLS national_M2024_dl); matches theodorewright11 and augw999 mirrors</t>
        </is>
      </c>
    </row>
    <row r="91">
      <c r="A91" t="inlineStr">
        <is>
          <t>ws2_seat_compression</t>
        </is>
      </c>
      <c r="B91" t="inlineStr">
        <is>
          <t>BLS OEWS national employment, 27-4032 Film and Video Editors, May 2025</t>
        </is>
      </c>
      <c r="C91" t="inlineStr">
        <is>
          <t>25610</t>
        </is>
      </c>
      <c r="D91" t="inlineStr">
        <is>
          <t>https://www.bls.gov/oes/2025/may/oes274032.htm</t>
        </is>
      </c>
      <c r="E91" t="inlineStr">
        <is>
          <t>2026-10-02</t>
        </is>
      </c>
      <c r="F91" t="inlineStr">
        <is>
          <t>value read from GitHub mirror: github.com/theodorewright11/ai-workforce-exposure-dataset-construction-public data/oews_national_2025.csv (verbatim BLS national_M2025_dl); matches arieldklein bls_2025_clean.csv; GD/AD/MM cross-checked vs WebSearch</t>
        </is>
      </c>
    </row>
    <row r="92">
      <c r="A92" t="inlineStr">
        <is>
          <t>ws2_seat_compression</t>
        </is>
      </c>
      <c r="B92" t="inlineStr">
        <is>
          <t>BLS projected % change 2024-34, 27-1024 Graphic Designers</t>
        </is>
      </c>
      <c r="C92" t="inlineStr">
        <is>
          <t>2.1</t>
        </is>
      </c>
      <c r="D92" t="inlineStr">
        <is>
          <t>https://www.bls.gov/ooh/arts-and-design/graphic-designers.htm</t>
        </is>
      </c>
      <c r="E92" t="inlineStr">
        <is>
          <t>2026-10-02</t>
        </is>
      </c>
      <c r="F92" t="inlineStr">
        <is>
          <t>retrieved via WebSearch snippet; page not fetchable from this environment</t>
        </is>
      </c>
    </row>
    <row r="93">
      <c r="A93" t="inlineStr">
        <is>
          <t>ws2_seat_compression</t>
        </is>
      </c>
      <c r="B93" t="inlineStr">
        <is>
          <t>BLS projected % change 2025-35 (OOH updated Sep 2026), 27-1024 Graphic Designers</t>
        </is>
      </c>
      <c r="C93" t="inlineStr">
        <is>
          <t>-2.0</t>
        </is>
      </c>
      <c r="D93" t="inlineStr">
        <is>
          <t>https://www.bls.gov/ooh/arts-and-design/graphic-designers.htm</t>
        </is>
      </c>
      <c r="E93" t="inlineStr">
        <is>
          <t>2026-10-02</t>
        </is>
      </c>
      <c r="F93" t="inlineStr">
        <is>
          <t>retrieved via WebSearch snippet; page not fetchable from this environment</t>
        </is>
      </c>
    </row>
    <row r="94">
      <c r="A94" t="inlineStr">
        <is>
          <t>ws2_seat_compression</t>
        </is>
      </c>
      <c r="B94" t="inlineStr">
        <is>
          <t>BLS projected % change 2024-34, 27-1011 Art Directors</t>
        </is>
      </c>
      <c r="C94" t="inlineStr">
        <is>
          <t>4.2</t>
        </is>
      </c>
      <c r="D94" t="inlineStr">
        <is>
          <t>https://www.bls.gov/ooh/arts-and-design/art-directors.htm</t>
        </is>
      </c>
      <c r="E94" t="inlineStr">
        <is>
          <t>2026-10-02</t>
        </is>
      </c>
      <c r="F94" t="inlineStr">
        <is>
          <t>retrieved via WebSearch snippet; page not fetchable from this environment</t>
        </is>
      </c>
    </row>
    <row r="95">
      <c r="A95" t="inlineStr">
        <is>
          <t>ws2_seat_compression</t>
        </is>
      </c>
      <c r="B95" t="inlineStr">
        <is>
          <t>BLS projected % change 2025-35 (OOH updated Sep 2026), 27-1011 Art Directors</t>
        </is>
      </c>
      <c r="C95" t="inlineStr">
        <is>
          <t>4.0</t>
        </is>
      </c>
      <c r="D95" t="inlineStr">
        <is>
          <t>https://www.bls.gov/ooh/arts-and-design/art-directors.htm</t>
        </is>
      </c>
      <c r="E95" t="inlineStr">
        <is>
          <t>2026-10-02</t>
        </is>
      </c>
      <c r="F95" t="inlineStr">
        <is>
          <t>retrieved via WebSearch snippet; page not fetchable from this environment</t>
        </is>
      </c>
    </row>
    <row r="96">
      <c r="A96" t="inlineStr">
        <is>
          <t>ws2_seat_compression</t>
        </is>
      </c>
      <c r="B96" t="inlineStr">
        <is>
          <t>BLS projected % change 2024-34, 27-1014 Special Effects Artists and Animators</t>
        </is>
      </c>
      <c r="C96" t="inlineStr">
        <is>
          <t>1.6</t>
        </is>
      </c>
      <c r="D96" t="inlineStr">
        <is>
          <t>https://www.bls.gov/ooh/arts-and-design/multimedia-artists-and-animators.htm</t>
        </is>
      </c>
      <c r="E96" t="inlineStr">
        <is>
          <t>2026-10-02</t>
        </is>
      </c>
      <c r="F96" t="inlineStr">
        <is>
          <t>retrieved via WebSearch snippet; page not fetchable from this environment</t>
        </is>
      </c>
    </row>
    <row r="97">
      <c r="A97" t="inlineStr">
        <is>
          <t>ws2_seat_compression</t>
        </is>
      </c>
      <c r="B97" t="inlineStr">
        <is>
          <t>BLS projected % change 2025-35 (OOH updated Sep 2026), 27-1014 Special Effects Artists and Animators</t>
        </is>
      </c>
      <c r="C97" t="inlineStr">
        <is>
          <t>0.0</t>
        </is>
      </c>
      <c r="D97" t="inlineStr">
        <is>
          <t>https://www.bls.gov/ooh/arts-and-design/multimedia-artists-and-animators.htm</t>
        </is>
      </c>
      <c r="E97" t="inlineStr">
        <is>
          <t>2026-10-02</t>
        </is>
      </c>
      <c r="F97" t="inlineStr">
        <is>
          <t>retrieved via WebSearch snippet; page not fetchable from this environment</t>
        </is>
      </c>
    </row>
    <row r="98">
      <c r="A98" t="inlineStr">
        <is>
          <t>ws2_seat_compression</t>
        </is>
      </c>
      <c r="B98" t="inlineStr">
        <is>
          <t>BLS projected % change 2024-34, 27-4032 Film and Video Editors</t>
        </is>
      </c>
      <c r="C98" t="inlineStr">
        <is>
          <t>4.0</t>
        </is>
      </c>
      <c r="D98" t="inlineStr">
        <is>
          <t>https://www.bls.gov/ooh/media-and-communication/film-and-video-editors-and-camera-operators.htm</t>
        </is>
      </c>
      <c r="E98" t="inlineStr">
        <is>
          <t>2026-10-02</t>
        </is>
      </c>
      <c r="F98" t="inlineStr">
        <is>
          <t>retrieved via WebSearch snippet; page not fetchable from this environment</t>
        </is>
      </c>
    </row>
    <row r="99">
      <c r="A99" t="inlineStr">
        <is>
          <t>ws2_seat_compression</t>
        </is>
      </c>
      <c r="B99" t="inlineStr">
        <is>
          <t>BLS projected % change 2025-35 (OOH updated Sep 2026), 27-4032 Film and Video Editors</t>
        </is>
      </c>
      <c r="C99" t="inlineStr">
        <is>
          <t>3.0</t>
        </is>
      </c>
      <c r="D99" t="inlineStr">
        <is>
          <t>https://www.bls.gov/ooh/media-and-communication/film-and-video-editors-and-camera-operators.htm</t>
        </is>
      </c>
      <c r="E99" t="inlineStr">
        <is>
          <t>2026-10-02</t>
        </is>
      </c>
      <c r="F99" t="inlineStr">
        <is>
          <t>retrieved via WebSearch snippet; page not fetchable from this environment</t>
        </is>
      </c>
    </row>
    <row r="100">
      <c r="A100" t="inlineStr">
        <is>
          <t>ws2_seat_compression</t>
        </is>
      </c>
      <c r="B100" t="inlineStr">
        <is>
          <t>BLS projected % change 2024-34, 27-4021 Photographers</t>
        </is>
      </c>
      <c r="C100" t="inlineStr">
        <is>
          <t>2.0</t>
        </is>
      </c>
      <c r="D100" t="inlineStr">
        <is>
          <t>https://www.bls.gov/ooh/media-and-communication/photographers.htm</t>
        </is>
      </c>
      <c r="E100" t="inlineStr">
        <is>
          <t>2026-10-02</t>
        </is>
      </c>
      <c r="F100" t="inlineStr">
        <is>
          <t>retrieved via WebSearch snippet; page not fetchable from this environment</t>
        </is>
      </c>
    </row>
    <row r="101">
      <c r="A101" t="inlineStr">
        <is>
          <t>ws2_seat_compression</t>
        </is>
      </c>
      <c r="B101" t="inlineStr">
        <is>
          <t>BLS projected % change 2025-35 (OOH updated Sep 2026), 27-4021 Photographers</t>
        </is>
      </c>
      <c r="C101" t="inlineStr">
        <is>
          <t>-1.0</t>
        </is>
      </c>
      <c r="D101" t="inlineStr">
        <is>
          <t>https://www.bls.gov/ooh/media-and-communication/photographers.htm</t>
        </is>
      </c>
      <c r="E101" t="inlineStr">
        <is>
          <t>2026-10-02</t>
        </is>
      </c>
      <c r="F101" t="inlineStr">
        <is>
          <t>retrieved via WebSearch snippet; page not fetchable from this environment</t>
        </is>
      </c>
    </row>
    <row r="102">
      <c r="A102" t="inlineStr">
        <is>
          <t>ws2_seat_compression</t>
        </is>
      </c>
      <c r="B102" t="inlineStr">
        <is>
          <t>BLS projected % change 2024-34, 11-2021 Marketing Managers</t>
        </is>
      </c>
      <c r="C102" t="inlineStr">
        <is>
          <t>6.6</t>
        </is>
      </c>
      <c r="D102" t="inlineStr">
        <is>
          <t>https://www.bls.gov/ooh/management/advertising-promotions-and-marketing-managers.htm</t>
        </is>
      </c>
      <c r="E102" t="inlineStr">
        <is>
          <t>2026-10-02</t>
        </is>
      </c>
      <c r="F102" t="inlineStr">
        <is>
          <t>retrieved via WebSearch snippet; page not fetchable from this environment</t>
        </is>
      </c>
    </row>
    <row r="103">
      <c r="A103" t="inlineStr">
        <is>
          <t>ws2_seat_compression</t>
        </is>
      </c>
      <c r="B103" t="inlineStr">
        <is>
          <t>BLS projected % change 2024-34, 13-1161 Market Research Analysts and Marketing Specialists</t>
        </is>
      </c>
      <c r="C103" t="inlineStr">
        <is>
          <t>6.7</t>
        </is>
      </c>
      <c r="D103" t="inlineStr">
        <is>
          <t>https://www.bls.gov/ooh/business-and-financial/market-research-analysts.htm</t>
        </is>
      </c>
      <c r="E103" t="inlineStr">
        <is>
          <t>2026-10-02</t>
        </is>
      </c>
      <c r="F103" t="inlineStr">
        <is>
          <t>retrieved via WebSearch snippet; page not fetchable from this environment</t>
        </is>
      </c>
    </row>
    <row r="104">
      <c r="A104" t="inlineStr">
        <is>
          <t>ws2_seat_compression</t>
        </is>
      </c>
      <c r="B104" t="inlineStr">
        <is>
          <t>Adobe total revenue FY2019 (USD bn)</t>
        </is>
      </c>
      <c r="C104" t="inlineStr">
        <is>
          <t>11.17</t>
        </is>
      </c>
      <c r="D104" t="inlineStr">
        <is>
          <t>https://www.sec.gov/Archives/edgar/data/796343/000079634320000013/adbe10kfy19.htm</t>
        </is>
      </c>
      <c r="E104" t="inlineStr">
        <is>
          <t>2026-10-02</t>
        </is>
      </c>
      <c r="F104" t="inlineStr">
        <is>
          <t>retrieved via WebSearch snippet; page not fetchable from this environment</t>
        </is>
      </c>
    </row>
    <row r="105">
      <c r="A105" t="inlineStr">
        <is>
          <t>ws2_seat_compression</t>
        </is>
      </c>
      <c r="B105" t="inlineStr">
        <is>
          <t>Adobe Digital Media segment revenue FY2019 (USD bn)</t>
        </is>
      </c>
      <c r="C105" t="inlineStr">
        <is>
          <t>7.71</t>
        </is>
      </c>
      <c r="D105" t="inlineStr">
        <is>
          <t>https://www.sec.gov/Archives/edgar/data/796343/000079634320000013/adbe10kfy19.htm</t>
        </is>
      </c>
      <c r="E105" t="inlineStr">
        <is>
          <t>2026-10-02</t>
        </is>
      </c>
      <c r="F105" t="inlineStr">
        <is>
          <t>retrieved via WebSearch snippet; page not fetchable from this environment</t>
        </is>
      </c>
    </row>
    <row r="106">
      <c r="A106" t="inlineStr">
        <is>
          <t>ws2_seat_compression</t>
        </is>
      </c>
      <c r="B106" t="inlineStr">
        <is>
          <t>Adobe Creative revenue FY2019 (USD bn)</t>
        </is>
      </c>
      <c r="C106" t="inlineStr">
        <is>
          <t>6.48</t>
        </is>
      </c>
      <c r="D106" t="inlineStr">
        <is>
          <t>https://www.sec.gov/Archives/edgar/data/796343/000079634320000013/adbe10kfy19.htm</t>
        </is>
      </c>
      <c r="E106" t="inlineStr">
        <is>
          <t>2026-10-02</t>
        </is>
      </c>
      <c r="F106" t="inlineStr">
        <is>
          <t>retrieved via WebSearch snippet; page not fetchable from this environment</t>
        </is>
      </c>
    </row>
    <row r="107">
      <c r="A107" t="inlineStr">
        <is>
          <t>ws2_seat_compression</t>
        </is>
      </c>
      <c r="B107" t="inlineStr">
        <is>
          <t>Adobe Document Cloud revenue FY2019 (USD bn)</t>
        </is>
      </c>
      <c r="C107" t="inlineStr">
        <is>
          <t>1.22</t>
        </is>
      </c>
      <c r="D107" t="inlineStr">
        <is>
          <t>https://www.sec.gov/Archives/edgar/data/796343/000079634320000013/adbe10kfy19.htm</t>
        </is>
      </c>
      <c r="E107" t="inlineStr">
        <is>
          <t>2026-10-02</t>
        </is>
      </c>
      <c r="F107" t="inlineStr">
        <is>
          <t>retrieved via WebSearch snippet; page not fetchable from this environment</t>
        </is>
      </c>
    </row>
    <row r="108">
      <c r="A108" t="inlineStr">
        <is>
          <t>ws2_seat_compression</t>
        </is>
      </c>
      <c r="B108" t="inlineStr">
        <is>
          <t>Adobe total revenue FY2020 (USD bn)</t>
        </is>
      </c>
      <c r="C108" t="inlineStr">
        <is>
          <t>12.87</t>
        </is>
      </c>
      <c r="D108" t="inlineStr">
        <is>
          <t>https://www.sec.gov/Archives/edgar/data/796343/000079634320000248/adbeex991q420.htm</t>
        </is>
      </c>
      <c r="E108" t="inlineStr">
        <is>
          <t>2026-10-02</t>
        </is>
      </c>
      <c r="F108" t="inlineStr">
        <is>
          <t>retrieved via WebSearch snippet; page not fetchable from this environment</t>
        </is>
      </c>
    </row>
    <row r="109">
      <c r="A109" t="inlineStr">
        <is>
          <t>ws2_seat_compression</t>
        </is>
      </c>
      <c r="B109" t="inlineStr">
        <is>
          <t>Adobe Digital Media segment revenue FY2020 (USD bn)</t>
        </is>
      </c>
      <c r="C109" t="inlineStr">
        <is>
          <t>9.23</t>
        </is>
      </c>
      <c r="D109" t="inlineStr">
        <is>
          <t>https://www.sec.gov/Archives/edgar/data/796343/000079634320000248/adbeex991q420.htm</t>
        </is>
      </c>
      <c r="E109" t="inlineStr">
        <is>
          <t>2026-10-02</t>
        </is>
      </c>
      <c r="F109" t="inlineStr">
        <is>
          <t>retrieved via WebSearch snippet; page not fetchable from this environment</t>
        </is>
      </c>
    </row>
    <row r="110">
      <c r="A110" t="inlineStr">
        <is>
          <t>ws2_seat_compression</t>
        </is>
      </c>
      <c r="B110" t="inlineStr">
        <is>
          <t>Adobe Creative revenue FY2020 (USD bn)</t>
        </is>
      </c>
      <c r="C110" t="inlineStr">
        <is>
          <t>7.74</t>
        </is>
      </c>
      <c r="D110" t="inlineStr">
        <is>
          <t>https://www.sec.gov/Archives/edgar/data/796343/000079634320000248/adbeex991q420.htm</t>
        </is>
      </c>
      <c r="E110" t="inlineStr">
        <is>
          <t>2026-10-02</t>
        </is>
      </c>
      <c r="F110" t="inlineStr">
        <is>
          <t>retrieved via WebSearch snippet; page not fetchable from this environment</t>
        </is>
      </c>
    </row>
    <row r="111">
      <c r="A111" t="inlineStr">
        <is>
          <t>ws2_seat_compression</t>
        </is>
      </c>
      <c r="B111" t="inlineStr">
        <is>
          <t>Adobe Document Cloud revenue FY2020 (USD bn)</t>
        </is>
      </c>
      <c r="C111" t="inlineStr">
        <is>
          <t>1.5</t>
        </is>
      </c>
      <c r="D111" t="inlineStr">
        <is>
          <t>https://www.sec.gov/Archives/edgar/data/796343/000079634320000248/adbeex991q420.htm</t>
        </is>
      </c>
      <c r="E111" t="inlineStr">
        <is>
          <t>2026-10-02</t>
        </is>
      </c>
      <c r="F111" t="inlineStr">
        <is>
          <t>retrieved via WebSearch snippet; page not fetchable from this environment</t>
        </is>
      </c>
    </row>
    <row r="112">
      <c r="A112" t="inlineStr">
        <is>
          <t>ws2_seat_compression</t>
        </is>
      </c>
      <c r="B112" t="inlineStr">
        <is>
          <t>Adobe total revenue FY2021 (USD bn)</t>
        </is>
      </c>
      <c r="C112" t="inlineStr">
        <is>
          <t>15.79</t>
        </is>
      </c>
      <c r="D112" t="inlineStr">
        <is>
          <t>https://www.sec.gov/Archives/edgar/data/796343/000079634322000032/adbe-20211203.htm</t>
        </is>
      </c>
      <c r="E112" t="inlineStr">
        <is>
          <t>2026-10-02</t>
        </is>
      </c>
      <c r="F112" t="inlineStr">
        <is>
          <t>retrieved via WebSearch snippet; page not fetchable from this environment</t>
        </is>
      </c>
    </row>
    <row r="113">
      <c r="A113" t="inlineStr">
        <is>
          <t>ws2_seat_compression</t>
        </is>
      </c>
      <c r="B113" t="inlineStr">
        <is>
          <t>Adobe Digital Media segment revenue FY2021 (USD bn)</t>
        </is>
      </c>
      <c r="C113" t="inlineStr">
        <is>
          <t>11.52</t>
        </is>
      </c>
      <c r="D113" t="inlineStr">
        <is>
          <t>https://www.sec.gov/Archives/edgar/data/796343/000079634322000032/adbe-20211203.htm</t>
        </is>
      </c>
      <c r="E113" t="inlineStr">
        <is>
          <t>2026-10-02</t>
        </is>
      </c>
      <c r="F113" t="inlineStr">
        <is>
          <t>retrieved via WebSearch snippet; page not fetchable from this environment</t>
        </is>
      </c>
    </row>
    <row r="114">
      <c r="A114" t="inlineStr">
        <is>
          <t>ws2_seat_compression</t>
        </is>
      </c>
      <c r="B114" t="inlineStr">
        <is>
          <t>Adobe Creative revenue FY2021 (USD bn)</t>
        </is>
      </c>
      <c r="C114" t="inlineStr">
        <is>
          <t>9.55</t>
        </is>
      </c>
      <c r="D114" t="inlineStr">
        <is>
          <t>https://www.sec.gov/Archives/edgar/data/796343/000079634322000032/adbe-20211203.htm</t>
        </is>
      </c>
      <c r="E114" t="inlineStr">
        <is>
          <t>2026-10-02</t>
        </is>
      </c>
      <c r="F114" t="inlineStr">
        <is>
          <t>retrieved via WebSearch snippet; page not fetchable from this environment</t>
        </is>
      </c>
    </row>
    <row r="115">
      <c r="A115" t="inlineStr">
        <is>
          <t>ws2_seat_compression</t>
        </is>
      </c>
      <c r="B115" t="inlineStr">
        <is>
          <t>Adobe Document Cloud revenue FY2021 (USD bn)</t>
        </is>
      </c>
      <c r="C115" t="inlineStr">
        <is>
          <t>1.97</t>
        </is>
      </c>
      <c r="D115" t="inlineStr">
        <is>
          <t>https://www.sec.gov/Archives/edgar/data/796343/000079634322000032/adbe-20211203.htm</t>
        </is>
      </c>
      <c r="E115" t="inlineStr">
        <is>
          <t>2026-10-02</t>
        </is>
      </c>
      <c r="F115" t="inlineStr">
        <is>
          <t>retrieved via WebSearch snippet; page not fetchable from this environment</t>
        </is>
      </c>
    </row>
    <row r="116">
      <c r="A116" t="inlineStr">
        <is>
          <t>ws2_seat_compression</t>
        </is>
      </c>
      <c r="B116" t="inlineStr">
        <is>
          <t>Adobe total revenue FY2022 (USD bn)</t>
        </is>
      </c>
      <c r="C116" t="inlineStr">
        <is>
          <t>17.61</t>
        </is>
      </c>
      <c r="D116" t="inlineStr">
        <is>
          <t>https://www.sec.gov/Archives/edgar/data/796343/000079634323000007/adbe-20221202.htm</t>
        </is>
      </c>
      <c r="E116" t="inlineStr">
        <is>
          <t>2026-10-02</t>
        </is>
      </c>
      <c r="F116" t="inlineStr">
        <is>
          <t>retrieved via WebSearch snippet; page not fetchable from this environment</t>
        </is>
      </c>
    </row>
    <row r="117">
      <c r="A117" t="inlineStr">
        <is>
          <t>ws2_seat_compression</t>
        </is>
      </c>
      <c r="B117" t="inlineStr">
        <is>
          <t>Adobe Digital Media segment revenue FY2022 (USD bn)</t>
        </is>
      </c>
      <c r="C117" t="inlineStr">
        <is>
          <t>12.84</t>
        </is>
      </c>
      <c r="D117" t="inlineStr">
        <is>
          <t>https://www.sec.gov/Archives/edgar/data/796343/000079634323000007/adbe-20221202.htm</t>
        </is>
      </c>
      <c r="E117" t="inlineStr">
        <is>
          <t>2026-10-02</t>
        </is>
      </c>
      <c r="F117" t="inlineStr">
        <is>
          <t>retrieved via WebSearch snippet; page not fetchable from this environment</t>
        </is>
      </c>
    </row>
    <row r="118">
      <c r="A118" t="inlineStr">
        <is>
          <t>ws2_seat_compression</t>
        </is>
      </c>
      <c r="B118" t="inlineStr">
        <is>
          <t>Adobe Creative revenue FY2022 (USD bn)</t>
        </is>
      </c>
      <c r="C118" t="inlineStr">
        <is>
          <t>10.46</t>
        </is>
      </c>
      <c r="D118" t="inlineStr">
        <is>
          <t>https://www.sec.gov/Archives/edgar/data/796343/000079634323000007/adbe-20221202.htm</t>
        </is>
      </c>
      <c r="E118" t="inlineStr">
        <is>
          <t>2026-10-02</t>
        </is>
      </c>
      <c r="F118" t="inlineStr">
        <is>
          <t>retrieved via WebSearch snippet; page not fetchable from this environment</t>
        </is>
      </c>
    </row>
    <row r="119">
      <c r="A119" t="inlineStr">
        <is>
          <t>ws2_seat_compression</t>
        </is>
      </c>
      <c r="B119" t="inlineStr">
        <is>
          <t>Adobe Document Cloud revenue FY2022 (USD bn)</t>
        </is>
      </c>
      <c r="C119" t="inlineStr">
        <is>
          <t>2.38</t>
        </is>
      </c>
      <c r="D119" t="inlineStr">
        <is>
          <t>https://www.sec.gov/Archives/edgar/data/796343/000079634323000007/adbe-20221202.htm</t>
        </is>
      </c>
      <c r="E119" t="inlineStr">
        <is>
          <t>2026-10-02</t>
        </is>
      </c>
      <c r="F119" t="inlineStr">
        <is>
          <t>retrieved via WebSearch snippet; page not fetchable from this environment</t>
        </is>
      </c>
    </row>
    <row r="120">
      <c r="A120" t="inlineStr">
        <is>
          <t>ws2_seat_compression</t>
        </is>
      </c>
      <c r="B120" t="inlineStr">
        <is>
          <t>Adobe total revenue FY2023 (USD bn)</t>
        </is>
      </c>
      <c r="C120" t="inlineStr">
        <is>
          <t>19.41</t>
        </is>
      </c>
      <c r="D120" t="inlineStr">
        <is>
          <t>https://www.sec.gov/Archives/edgar/data/796343/000079634323000252/adbeex991q423.htm</t>
        </is>
      </c>
      <c r="E120" t="inlineStr">
        <is>
          <t>2026-10-02</t>
        </is>
      </c>
      <c r="F120" t="inlineStr">
        <is>
          <t>retrieved via WebSearch snippet; page not fetchable from this environment</t>
        </is>
      </c>
    </row>
    <row r="121">
      <c r="A121" t="inlineStr">
        <is>
          <t>ws2_seat_compression</t>
        </is>
      </c>
      <c r="B121" t="inlineStr">
        <is>
          <t>Adobe Digital Media segment revenue FY2023 (USD bn)</t>
        </is>
      </c>
      <c r="C121" t="inlineStr">
        <is>
          <t>14.22</t>
        </is>
      </c>
      <c r="D121" t="inlineStr">
        <is>
          <t>https://www.sec.gov/Archives/edgar/data/796343/000079634323000252/adbeex991q423.htm</t>
        </is>
      </c>
      <c r="E121" t="inlineStr">
        <is>
          <t>2026-10-02</t>
        </is>
      </c>
      <c r="F121" t="inlineStr">
        <is>
          <t>retrieved via WebSearch snippet; page not fetchable from this environment</t>
        </is>
      </c>
    </row>
    <row r="122">
      <c r="A122" t="inlineStr">
        <is>
          <t>ws2_seat_compression</t>
        </is>
      </c>
      <c r="B122" t="inlineStr">
        <is>
          <t>Adobe Creative revenue FY2023 (USD bn)</t>
        </is>
      </c>
      <c r="C122" t="inlineStr">
        <is>
          <t>11.52</t>
        </is>
      </c>
      <c r="D122" t="inlineStr">
        <is>
          <t>https://www.sec.gov/Archives/edgar/data/796343/000079634323000252/adbeex991q423.htm</t>
        </is>
      </c>
      <c r="E122" t="inlineStr">
        <is>
          <t>2026-10-02</t>
        </is>
      </c>
      <c r="F122" t="inlineStr">
        <is>
          <t>retrieved via WebSearch snippet; page not fetchable from this environment</t>
        </is>
      </c>
    </row>
    <row r="123">
      <c r="A123" t="inlineStr">
        <is>
          <t>ws2_seat_compression</t>
        </is>
      </c>
      <c r="B123" t="inlineStr">
        <is>
          <t>Adobe Document Cloud revenue FY2023 (USD bn)</t>
        </is>
      </c>
      <c r="C123" t="inlineStr">
        <is>
          <t>2.7</t>
        </is>
      </c>
      <c r="D123" t="inlineStr">
        <is>
          <t>https://www.sec.gov/Archives/edgar/data/796343/000079634323000252/adbeex991q423.htm</t>
        </is>
      </c>
      <c r="E123" t="inlineStr">
        <is>
          <t>2026-10-02</t>
        </is>
      </c>
      <c r="F123" t="inlineStr">
        <is>
          <t>retrieved via WebSearch snippet; page not fetchable from this environment</t>
        </is>
      </c>
    </row>
    <row r="124">
      <c r="A124" t="inlineStr">
        <is>
          <t>ws2_seat_compression</t>
        </is>
      </c>
      <c r="B124" t="inlineStr">
        <is>
          <t>Adobe total revenue FY2024 (USD bn)</t>
        </is>
      </c>
      <c r="C124" t="inlineStr">
        <is>
          <t>21.51</t>
        </is>
      </c>
      <c r="D124" t="inlineStr">
        <is>
          <t>https://www.sec.gov/Archives/edgar/data/796343/000079634324000250/adbeex991q424.htm</t>
        </is>
      </c>
      <c r="E124" t="inlineStr">
        <is>
          <t>2026-10-02</t>
        </is>
      </c>
      <c r="F124" t="inlineStr">
        <is>
          <t>retrieved via WebSearch snippet; page not fetchable from this environment</t>
        </is>
      </c>
    </row>
    <row r="125">
      <c r="A125" t="inlineStr">
        <is>
          <t>ws2_seat_compression</t>
        </is>
      </c>
      <c r="B125" t="inlineStr">
        <is>
          <t>Adobe Digital Media segment revenue FY2024 (USD bn)</t>
        </is>
      </c>
      <c r="C125" t="inlineStr">
        <is>
          <t>15.86</t>
        </is>
      </c>
      <c r="D125" t="inlineStr">
        <is>
          <t>https://www.sec.gov/Archives/edgar/data/796343/000079634324000250/adbeex991q424.htm</t>
        </is>
      </c>
      <c r="E125" t="inlineStr">
        <is>
          <t>2026-10-02</t>
        </is>
      </c>
      <c r="F125" t="inlineStr">
        <is>
          <t>retrieved via WebSearch snippet; page not fetchable from this environment</t>
        </is>
      </c>
    </row>
    <row r="126">
      <c r="A126" t="inlineStr">
        <is>
          <t>ws2_seat_compression</t>
        </is>
      </c>
      <c r="B126" t="inlineStr">
        <is>
          <t>Adobe Creative revenue FY2024 (USD bn)</t>
        </is>
      </c>
      <c r="C126" t="inlineStr">
        <is>
          <t>12.68</t>
        </is>
      </c>
      <c r="D126" t="inlineStr">
        <is>
          <t>https://www.sec.gov/Archives/edgar/data/796343/000079634324000250/adbeex991q424.htm</t>
        </is>
      </c>
      <c r="E126" t="inlineStr">
        <is>
          <t>2026-10-02</t>
        </is>
      </c>
      <c r="F126" t="inlineStr">
        <is>
          <t>retrieved via WebSearch snippet; page not fetchable from this environment</t>
        </is>
      </c>
    </row>
    <row r="127">
      <c r="A127" t="inlineStr">
        <is>
          <t>ws2_seat_compression</t>
        </is>
      </c>
      <c r="B127" t="inlineStr">
        <is>
          <t>Adobe Document Cloud revenue FY2024 (USD bn)</t>
        </is>
      </c>
      <c r="C127" t="inlineStr">
        <is>
          <t>3.18</t>
        </is>
      </c>
      <c r="D127" t="inlineStr">
        <is>
          <t>https://www.sec.gov/Archives/edgar/data/796343/000079634324000250/adbeex991q424.htm</t>
        </is>
      </c>
      <c r="E127" t="inlineStr">
        <is>
          <t>2026-10-02</t>
        </is>
      </c>
      <c r="F127" t="inlineStr">
        <is>
          <t>retrieved via WebSearch snippet; page not fetchable from this environment</t>
        </is>
      </c>
    </row>
    <row r="128">
      <c r="A128" t="inlineStr">
        <is>
          <t>ws2_seat_compression</t>
        </is>
      </c>
      <c r="B128" t="inlineStr">
        <is>
          <t>Adobe total revenue FY2025 (USD bn)</t>
        </is>
      </c>
      <c r="C128" t="inlineStr">
        <is>
          <t>23.77</t>
        </is>
      </c>
      <c r="D128" t="inlineStr">
        <is>
          <t>https://www.sec.gov/Archives/edgar/data/796343/000079634326000003/adbe-20251128.htm</t>
        </is>
      </c>
      <c r="E128" t="inlineStr">
        <is>
          <t>2026-10-02</t>
        </is>
      </c>
      <c r="F128" t="inlineStr">
        <is>
          <t>retrieved via WebSearch snippet; page not fetchable from this environment</t>
        </is>
      </c>
    </row>
    <row r="129">
      <c r="A129" t="inlineStr">
        <is>
          <t>ws2_seat_compression</t>
        </is>
      </c>
      <c r="B129" t="inlineStr">
        <is>
          <t>Adobe Digital Media segment revenue FY2025 (USD bn)</t>
        </is>
      </c>
      <c r="C129" t="inlineStr">
        <is>
          <t>17.65</t>
        </is>
      </c>
      <c r="D129" t="inlineStr">
        <is>
          <t>https://www.sec.gov/Archives/edgar/data/796343/000079634326000003/adbe-20251128.htm</t>
        </is>
      </c>
      <c r="E129" t="inlineStr">
        <is>
          <t>2026-10-02</t>
        </is>
      </c>
      <c r="F129" t="inlineStr">
        <is>
          <t>retrieved via WebSearch snippet; page not fetchable from this environment</t>
        </is>
      </c>
    </row>
    <row r="130">
      <c r="A130" t="inlineStr">
        <is>
          <t>ws2_seat_compression</t>
        </is>
      </c>
      <c r="B130" t="inlineStr">
        <is>
          <t>Adobe Creative vs Document Cloud revenue FY2025</t>
        </is>
      </c>
      <c r="C130" t="inlineStr">
        <is>
          <t>UNAVAILABLE</t>
        </is>
      </c>
      <c r="D130" t="inlineStr">
        <is>
          <t>https://www.sec.gov/Archives/edgar/data/796343/000079634326000003/adbe-20251128.htm</t>
        </is>
      </c>
      <c r="E130" t="inlineStr">
        <is>
          <t>2026-10-02</t>
        </is>
      </c>
      <c r="F130" t="inlineStr">
        <is>
          <t>not surfaced in WebSearch snippets; Adobe shifted to customer-group disclosure (Q4 FY25 Creative &amp; Marketing Professionals subscription revenue $4.25B, +11% YoY)</t>
        </is>
      </c>
    </row>
    <row r="131">
      <c r="A131" t="inlineStr">
        <is>
          <t>ws2_seat_compression</t>
        </is>
      </c>
      <c r="B131" t="inlineStr">
        <is>
          <t>Adobe Q3 FY26 ending ARR (USD bn)</t>
        </is>
      </c>
      <c r="C131" t="inlineStr">
        <is>
          <t>27.5</t>
        </is>
      </c>
      <c r="D131" t="inlineStr">
        <is>
          <t>https://www.sec.gov/Archives/edgar/data/0000796343/000079634326000147/adbeex991q326.htm</t>
        </is>
      </c>
      <c r="E131" t="inlineStr">
        <is>
          <t>2026-10-02</t>
        </is>
      </c>
      <c r="F131" t="inlineStr">
        <is>
          <t>orchestrator starting facts (10-Q Q3 FY26); confirmed via WebSearch snippet of Q3 FY26 8-K Ex.99.1</t>
        </is>
      </c>
    </row>
    <row r="132">
      <c r="A132" t="inlineStr">
        <is>
          <t>ws2_seat_compression</t>
        </is>
      </c>
      <c r="B132" t="inlineStr">
        <is>
          <t>Adobe Q3 FY26 Creative &amp; Marketing Professionals subscription revenue (USD bn, +12% YoY)</t>
        </is>
      </c>
      <c r="C132" t="inlineStr">
        <is>
          <t>4.65</t>
        </is>
      </c>
      <c r="D132" t="inlineStr">
        <is>
          <t>https://www.sec.gov/Archives/edgar/data/0000796343/000079634326000147/adbeex991q326.htm</t>
        </is>
      </c>
      <c r="E132" t="inlineStr">
        <is>
          <t>2026-10-02</t>
        </is>
      </c>
      <c r="F132" t="inlineStr">
        <is>
          <t>retrieved via WebSearch snippet; page not fetchable from this environment</t>
        </is>
      </c>
    </row>
    <row r="133">
      <c r="A133" t="inlineStr">
        <is>
          <t>ws2_seat_compression</t>
        </is>
      </c>
      <c r="B133" t="inlineStr">
        <is>
          <t>Adobe 9M FY26 C&amp;MP subscription revenue (USD m) vs 9M FY25</t>
        </is>
      </c>
      <c r="C133" t="inlineStr">
        <is>
          <t>13577 vs 12058</t>
        </is>
      </c>
      <c r="D133" t="inlineStr">
        <is>
          <t>orchestrator starting facts (10-Q Q3 FY26)</t>
        </is>
      </c>
      <c r="E133" t="inlineStr">
        <is>
          <t>2026-10-02</t>
        </is>
      </c>
      <c r="F133" t="inlineStr">
        <is>
          <t>orchestrator starting facts (10-Q Q3 FY26); not independently verified</t>
        </is>
      </c>
    </row>
    <row r="134">
      <c r="A134" t="inlineStr">
        <is>
          <t>ws2_seat_compression</t>
        </is>
      </c>
      <c r="B134" t="inlineStr">
        <is>
          <t>Adobe FY26 C&amp;MP subscription revenue guide (USD bn)</t>
        </is>
      </c>
      <c r="C134" t="inlineStr">
        <is>
          <t>18.242-18.272</t>
        </is>
      </c>
      <c r="D134" t="inlineStr">
        <is>
          <t>orchestrator starting facts (10-Q Q3 FY26)</t>
        </is>
      </c>
      <c r="E134" t="inlineStr">
        <is>
          <t>2026-10-02</t>
        </is>
      </c>
      <c r="F134" t="inlineStr">
        <is>
          <t>orchestrator starting facts; not independently verified</t>
        </is>
      </c>
    </row>
    <row r="135">
      <c r="A135" t="inlineStr">
        <is>
          <t>ws2_seat_compression</t>
        </is>
      </c>
      <c r="B135" t="inlineStr">
        <is>
          <t>Adobe FY26 ending ARR growth guide on $25.66B beginning book</t>
        </is>
      </c>
      <c r="C135" t="inlineStr">
        <is>
          <t>10.2%</t>
        </is>
      </c>
      <c r="D135" t="inlineStr">
        <is>
          <t>orchestrator starting facts (10-Q Q3 FY26)</t>
        </is>
      </c>
      <c r="E135" t="inlineStr">
        <is>
          <t>2026-10-02</t>
        </is>
      </c>
      <c r="F135" t="inlineStr">
        <is>
          <t>orchestrator starting facts; not independently verified</t>
        </is>
      </c>
    </row>
    <row r="136">
      <c r="A136" t="inlineStr">
        <is>
          <t>ws2_seat_compression</t>
        </is>
      </c>
      <c r="B136" t="inlineStr">
        <is>
          <t>WPP year-end employees 2019</t>
        </is>
      </c>
      <c r="C136" t="inlineStr">
        <is>
          <t>106478</t>
        </is>
      </c>
      <c r="D136" t="inlineStr">
        <is>
          <t>https://www.businesswire.com/news/home/20210311005445/en/WPP-2020-Preliminary-Results</t>
        </is>
      </c>
      <c r="E136" t="inlineStr">
        <is>
          <t>2026-10-02</t>
        </is>
      </c>
      <c r="F136" t="inlineStr">
        <is>
          <t>retrieved via WebSearch snippet; page not fetchable from this environment. WPP preliminary results (people at 31 Dec); via WebSearch snippet</t>
        </is>
      </c>
    </row>
    <row r="137">
      <c r="A137" t="inlineStr">
        <is>
          <t>ws2_seat_compression</t>
        </is>
      </c>
      <c r="B137" t="inlineStr">
        <is>
          <t>WPP year-end employees 2020</t>
        </is>
      </c>
      <c r="C137" t="inlineStr">
        <is>
          <t>99830</t>
        </is>
      </c>
      <c r="D137" t="inlineStr">
        <is>
          <t>https://www.businesswire.com/news/home/20210311005445/en/WPP-2020-Preliminary-Results</t>
        </is>
      </c>
      <c r="E137" t="inlineStr">
        <is>
          <t>2026-10-02</t>
        </is>
      </c>
      <c r="F137" t="inlineStr">
        <is>
          <t>retrieved via WebSearch snippet; page not fetchable from this environment. via WebSearch snippet</t>
        </is>
      </c>
    </row>
    <row r="138">
      <c r="A138" t="inlineStr">
        <is>
          <t>ws2_seat_compression</t>
        </is>
      </c>
      <c r="B138" t="inlineStr">
        <is>
          <t>WPP year-end employees 2021</t>
        </is>
      </c>
      <c r="C138" t="inlineStr">
        <is>
          <t>109382</t>
        </is>
      </c>
      <c r="D138" t="inlineStr">
        <is>
          <t>https://www.businesswire.com/news/home/20230222006095/en/WPP-2022-Preliminary-Results</t>
        </is>
      </c>
      <c r="E138" t="inlineStr">
        <is>
          <t>2026-10-02</t>
        </is>
      </c>
      <c r="F138" t="inlineStr">
        <is>
          <t>retrieved via WebSearch snippet; page not fetchable from this environment. via WebSearch snippet</t>
        </is>
      </c>
    </row>
    <row r="139">
      <c r="A139" t="inlineStr">
        <is>
          <t>ws2_seat_compression</t>
        </is>
      </c>
      <c r="B139" t="inlineStr">
        <is>
          <t>WPP year-end employees 2022</t>
        </is>
      </c>
      <c r="C139" t="inlineStr">
        <is>
          <t>115473</t>
        </is>
      </c>
      <c r="D139" t="inlineStr">
        <is>
          <t>https://www.businesswire.com/news/home/20230222006095/en/WPP-2022-Preliminary-Results</t>
        </is>
      </c>
      <c r="E139" t="inlineStr">
        <is>
          <t>2026-10-02</t>
        </is>
      </c>
      <c r="F139" t="inlineStr">
        <is>
          <t>retrieved via WebSearch snippet; page not fetchable from this environment. via WebSearch snippet</t>
        </is>
      </c>
    </row>
    <row r="140">
      <c r="A140" t="inlineStr">
        <is>
          <t>ws2_seat_compression</t>
        </is>
      </c>
      <c r="B140" t="inlineStr">
        <is>
          <t>WPP year-end employees 2023</t>
        </is>
      </c>
      <c r="C140" t="inlineStr">
        <is>
          <t>114173</t>
        </is>
      </c>
      <c r="D140" t="inlineStr">
        <is>
          <t>https://www.businesswire.com/news/home/20240221470136/en/WPP-2023-Preliminary-Results</t>
        </is>
      </c>
      <c r="E140" t="inlineStr">
        <is>
          <t>2026-10-02</t>
        </is>
      </c>
      <c r="F140" t="inlineStr">
        <is>
          <t>retrieved via WebSearch snippet; page not fetchable from this environment. via WebSearch snippet</t>
        </is>
      </c>
    </row>
    <row r="141">
      <c r="A141" t="inlineStr">
        <is>
          <t>ws2_seat_compression</t>
        </is>
      </c>
      <c r="B141" t="inlineStr">
        <is>
          <t>WPP year-end employees 2024</t>
        </is>
      </c>
      <c r="C141" t="inlineStr">
        <is>
          <t>108044</t>
        </is>
      </c>
      <c r="D141" t="inlineStr">
        <is>
          <t>https://www.sec.gov/Archives/edgar/data/806968/000165495425001971/wpp2024preliminaryresults.htm</t>
        </is>
      </c>
      <c r="E141" t="inlineStr">
        <is>
          <t>2026-10-02</t>
        </is>
      </c>
      <c r="F141" t="inlineStr">
        <is>
          <t>retrieved via WebSearch snippet; page not fetchable from this environment. via WebSearch snippet</t>
        </is>
      </c>
    </row>
    <row r="142">
      <c r="A142" t="inlineStr">
        <is>
          <t>ws2_seat_compression</t>
        </is>
      </c>
      <c r="B142" t="inlineStr">
        <is>
          <t>WPP year-end employees 2025</t>
        </is>
      </c>
      <c r="C142" t="inlineStr">
        <is>
          <t>98655</t>
        </is>
      </c>
      <c r="D142" t="inlineStr">
        <is>
          <t>https://www.sec.gov/Archives/edgar/data/806968/000162828026019643/wpp-20251231.htm</t>
        </is>
      </c>
      <c r="E142" t="inlineStr">
        <is>
          <t>2026-10-02</t>
        </is>
      </c>
      <c r="F142" t="inlineStr">
        <is>
          <t>retrieved via WebSearch snippet; page not fetchable from this environment. WPP 2025 annual report (20-F) via WebSearch snippet</t>
        </is>
      </c>
    </row>
    <row r="143">
      <c r="A143" t="inlineStr">
        <is>
          <t>ws2_seat_compression</t>
        </is>
      </c>
      <c r="B143" t="inlineStr">
        <is>
          <t>Omnicom year-end employees 2019</t>
        </is>
      </c>
      <c r="C143" t="inlineStr">
        <is>
          <t>70000</t>
        </is>
      </c>
      <c r="D143" t="inlineStr">
        <is>
          <t>https://www.sec.gov/Archives/edgar/data/29989/000002998920000005/omc-20191231.htm</t>
        </is>
      </c>
      <c r="E143" t="inlineStr">
        <is>
          <t>2026-10-02</t>
        </is>
      </c>
      <c r="F143" t="inlineStr">
        <is>
          <t>retrieved via WebSearch snippet; page not fetchable from this environment. 10-K 'employed approximately'; via WebSearch snippet</t>
        </is>
      </c>
    </row>
    <row r="144">
      <c r="A144" t="inlineStr">
        <is>
          <t>ws2_seat_compression</t>
        </is>
      </c>
      <c r="B144" t="inlineStr">
        <is>
          <t>Omnicom year-end employees 2020</t>
        </is>
      </c>
      <c r="C144" t="inlineStr">
        <is>
          <t>64100</t>
        </is>
      </c>
      <c r="D144" t="inlineStr">
        <is>
          <t>https://www.sec.gov/Archives/edgar/data/29989/000002998921000004/omc-20201231.htm</t>
        </is>
      </c>
      <c r="E144" t="inlineStr">
        <is>
          <t>2026-10-02</t>
        </is>
      </c>
      <c r="F144" t="inlineStr">
        <is>
          <t>retrieved via WebSearch snippet; page not fetchable from this environment. via WebSearch snippet</t>
        </is>
      </c>
    </row>
    <row r="145">
      <c r="A145" t="inlineStr">
        <is>
          <t>ws2_seat_compression</t>
        </is>
      </c>
      <c r="B145" t="inlineStr">
        <is>
          <t>Omnicom year-end employees 2021</t>
        </is>
      </c>
      <c r="C145" t="inlineStr">
        <is>
          <t>71700</t>
        </is>
      </c>
      <c r="D145" t="inlineStr">
        <is>
          <t>https://www.sec.gov/Archives/edgar/data/29989/000002998922000012/omc-20211231.htm</t>
        </is>
      </c>
      <c r="E145" t="inlineStr">
        <is>
          <t>2026-10-02</t>
        </is>
      </c>
      <c r="F145" t="inlineStr">
        <is>
          <t>retrieved via WebSearch snippet; page not fetchable from this environment. via WebSearch snippet</t>
        </is>
      </c>
    </row>
    <row r="146">
      <c r="A146" t="inlineStr">
        <is>
          <t>ws2_seat_compression</t>
        </is>
      </c>
      <c r="B146" t="inlineStr">
        <is>
          <t>Omnicom year-end employees 2022</t>
        </is>
      </c>
      <c r="C146" t="inlineStr">
        <is>
          <t>74200</t>
        </is>
      </c>
      <c r="D146" t="inlineStr">
        <is>
          <t>https://www.sec.gov/Archives/edgar/data/29989/000002998923000005/omc-20221231.htm</t>
        </is>
      </c>
      <c r="E146" t="inlineStr">
        <is>
          <t>2026-10-02</t>
        </is>
      </c>
      <c r="F146" t="inlineStr">
        <is>
          <t>retrieved via WebSearch snippet; page not fetchable from this environment. via WebSearch snippet</t>
        </is>
      </c>
    </row>
    <row r="147">
      <c r="A147" t="inlineStr">
        <is>
          <t>ws2_seat_compression</t>
        </is>
      </c>
      <c r="B147" t="inlineStr">
        <is>
          <t>Omnicom year-end employees 2023</t>
        </is>
      </c>
      <c r="C147" t="inlineStr">
        <is>
          <t>75900</t>
        </is>
      </c>
      <c r="D147" t="inlineStr">
        <is>
          <t>https://www.sec.gov/Archives/edgar/data/29989/000002998924000007/omc-20231231.htm</t>
        </is>
      </c>
      <c r="E147" t="inlineStr">
        <is>
          <t>2026-10-02</t>
        </is>
      </c>
      <c r="F147" t="inlineStr">
        <is>
          <t>retrieved via WebSearch snippet; page not fetchable from this environment. via WebSearch snippet</t>
        </is>
      </c>
    </row>
    <row r="148">
      <c r="A148" t="inlineStr">
        <is>
          <t>ws2_seat_compression</t>
        </is>
      </c>
      <c r="B148" t="inlineStr">
        <is>
          <t>Omnicom year-end employees 2024</t>
        </is>
      </c>
      <c r="C148" t="inlineStr">
        <is>
          <t>74900</t>
        </is>
      </c>
      <c r="D148" t="inlineStr">
        <is>
          <t>https://www.sec.gov/Archives/edgar/data/29989/000002998925000009/omc-20241231.htm</t>
        </is>
      </c>
      <c r="E148" t="inlineStr">
        <is>
          <t>2026-10-02</t>
        </is>
      </c>
      <c r="F148" t="inlineStr">
        <is>
          <t>retrieved via WebSearch snippet; page not fetchable from this environment. via WebSearch snippet</t>
        </is>
      </c>
    </row>
    <row r="149">
      <c r="A149" t="inlineStr">
        <is>
          <t>ws2_seat_compression</t>
        </is>
      </c>
      <c r="B149" t="inlineStr">
        <is>
          <t>Omnicom year-end employees 2025</t>
        </is>
      </c>
      <c r="C149" t="inlineStr">
        <is>
          <t>120000</t>
        </is>
      </c>
      <c r="D149" t="inlineStr">
        <is>
          <t>https://www.sec.gov/Archives/edgar/data/29989/000002998926000006/omc-20251231.htm</t>
        </is>
      </c>
      <c r="E149" t="inlineStr">
        <is>
          <t>2026-10-02</t>
        </is>
      </c>
      <c r="F149" t="inlineStr">
        <is>
          <t>retrieved via WebSearch snippet; page not fetchable from this environment. INCLUDES INTERPUBLIC: Omnicom closed the IPG acquisition 26 Nov 2025; FY2025 10-K headcount ~120,000 is the combined company. Press (mmm-online) reports Omnicom+IPG jointly cut ~8,200 heads in 2025.</t>
        </is>
      </c>
    </row>
    <row r="150">
      <c r="A150" t="inlineStr">
        <is>
          <t>ws2_seat_compression</t>
        </is>
      </c>
      <c r="B150" t="inlineStr">
        <is>
          <t>Publicis year-end employees 2019</t>
        </is>
      </c>
      <c r="C150" t="inlineStr">
        <is>
          <t>83235</t>
        </is>
      </c>
      <c r="D150" t="inlineStr">
        <is>
          <t>https://publicisgroupe-csr-smart-data.com/assets/archives/en/publicis-urd-2019-en.pdf</t>
        </is>
      </c>
      <c r="E150" t="inlineStr">
        <is>
          <t>2026-10-02</t>
        </is>
      </c>
      <c r="F150" t="inlineStr">
        <is>
          <t>retrieved via WebSearch snippet; page not fetchable from this environment. Universal Registration Document; via WebSearch snippet</t>
        </is>
      </c>
    </row>
    <row r="151">
      <c r="A151" t="inlineStr">
        <is>
          <t>ws2_seat_compression</t>
        </is>
      </c>
      <c r="B151" t="inlineStr">
        <is>
          <t>Publicis year-end employees 2020</t>
        </is>
      </c>
      <c r="C151" t="inlineStr">
        <is>
          <t>79051</t>
        </is>
      </c>
      <c r="D151" t="inlineStr">
        <is>
          <t>https://www.publicisgroupe.com/sites/default/files/investors-document/2021-04/PBS2020_PUBLICIS_URD_EN_MEL_V5_21_04_29.pdf</t>
        </is>
      </c>
      <c r="E151" t="inlineStr">
        <is>
          <t>2026-10-02</t>
        </is>
      </c>
      <c r="F151" t="inlineStr">
        <is>
          <t>retrieved via WebSearch snippet; page not fetchable from this environment. via WebSearch snippet</t>
        </is>
      </c>
    </row>
    <row r="152">
      <c r="A152" t="inlineStr">
        <is>
          <t>ws2_seat_compression</t>
        </is>
      </c>
      <c r="B152" t="inlineStr">
        <is>
          <t>Publicis year-end employees 2021</t>
        </is>
      </c>
      <c r="C152" t="inlineStr">
        <is>
          <t>88531</t>
        </is>
      </c>
      <c r="D152" t="inlineStr">
        <is>
          <t>https://documents.publicisgroupe.com/urd_vZ96yy/PBS_URD_2021_EN_MEL_22_05_06.pdf</t>
        </is>
      </c>
      <c r="E152" t="inlineStr">
        <is>
          <t>2026-10-02</t>
        </is>
      </c>
      <c r="F152" t="inlineStr">
        <is>
          <t>retrieved via WebSearch snippet; page not fetchable from this environment. via WebSearch snippet</t>
        </is>
      </c>
    </row>
    <row r="153">
      <c r="A153" t="inlineStr">
        <is>
          <t>ws2_seat_compression</t>
        </is>
      </c>
      <c r="B153" t="inlineStr">
        <is>
          <t>Publicis year-end employees 2022</t>
        </is>
      </c>
      <c r="C153" t="inlineStr">
        <is>
          <t>98022</t>
        </is>
      </c>
      <c r="D153" t="inlineStr">
        <is>
          <t>https://documents.publicisgroupe.com/urd2022/PBS_PUBLICIS_URD_EN_2022_MEL_23_05_11.pdf</t>
        </is>
      </c>
      <c r="E153" t="inlineStr">
        <is>
          <t>2026-10-02</t>
        </is>
      </c>
      <c r="F153" t="inlineStr">
        <is>
          <t>retrieved via WebSearch snippet; page not fetchable from this environment. via WebSearch snippet</t>
        </is>
      </c>
    </row>
    <row r="154">
      <c r="A154" t="inlineStr">
        <is>
          <t>ws2_seat_compression</t>
        </is>
      </c>
      <c r="B154" t="inlineStr">
        <is>
          <t>Publicis year-end employees 2023</t>
        </is>
      </c>
      <c r="C154" t="inlineStr">
        <is>
          <t>103295</t>
        </is>
      </c>
      <c r="D154" t="inlineStr">
        <is>
          <t>https://documents.publicisgroupe.com/urd2023/PBS2023_PUBLICIS_URD_EN_MeL_24_05_07.pdf</t>
        </is>
      </c>
      <c r="E154" t="inlineStr">
        <is>
          <t>2026-10-02</t>
        </is>
      </c>
      <c r="F154" t="inlineStr">
        <is>
          <t>retrieved via WebSearch snippet; page not fetchable from this environment. via WebSearch snippet</t>
        </is>
      </c>
    </row>
    <row r="155">
      <c r="A155" t="inlineStr">
        <is>
          <t>ws2_seat_compression</t>
        </is>
      </c>
      <c r="B155" t="inlineStr">
        <is>
          <t>Publicis year-end employees 2024</t>
        </is>
      </c>
      <c r="C155" t="inlineStr">
        <is>
          <t>108179</t>
        </is>
      </c>
      <c r="D155" t="inlineStr">
        <is>
          <t>https://publicisgroupe-csr-smart-data.com/assets/upload/en/universal_registration_document_2024.pdf</t>
        </is>
      </c>
      <c r="E155" t="inlineStr">
        <is>
          <t>2026-10-02</t>
        </is>
      </c>
      <c r="F155" t="inlineStr">
        <is>
          <t>retrieved via WebSearch snippet; page not fetchable from this environment. via WebSearch snippet</t>
        </is>
      </c>
    </row>
    <row r="156">
      <c r="A156" t="inlineStr">
        <is>
          <t>ws2_seat_compression</t>
        </is>
      </c>
      <c r="B156" t="inlineStr">
        <is>
          <t>Publicis year-end employees 2025</t>
        </is>
      </c>
      <c r="C156" t="inlineStr">
        <is>
          <t>114000</t>
        </is>
      </c>
      <c r="D156" t="inlineStr">
        <is>
          <t>https://www.publicisgroupe.com/en/news/press-releases/publicis-groupe-2025-full-year-results</t>
        </is>
      </c>
      <c r="E156" t="inlineStr">
        <is>
          <t>2026-10-02</t>
        </is>
      </c>
      <c r="F156" t="inlineStr">
        <is>
          <t>retrieved via WebSearch snippet; page not fetchable from this environment. APPROXIMATE ('around 114,000' at end-2025, +~5,800) per FY2025 results press/Campaign; exact URD 2025 figure UNAVAILABLE in snippets</t>
        </is>
      </c>
    </row>
    <row r="157">
      <c r="A157" t="inlineStr">
        <is>
          <t>ws2_seat_compression</t>
        </is>
      </c>
      <c r="B157" t="inlineStr">
        <is>
          <t>Interpublic year-end employees 2019</t>
        </is>
      </c>
      <c r="C157" t="inlineStr">
        <is>
          <t>54300</t>
        </is>
      </c>
      <c r="D157" t="inlineStr">
        <is>
          <t>https://www.sec.gov/Archives/edgar/data/51644/000005164420000013/ipg12311910k.htm</t>
        </is>
      </c>
      <c r="E157" t="inlineStr">
        <is>
          <t>2026-10-02</t>
        </is>
      </c>
      <c r="F157" t="inlineStr">
        <is>
          <t>retrieved via WebSearch snippet; page not fetchable from this environment. 10-K; via WebSearch snippet</t>
        </is>
      </c>
    </row>
    <row r="158">
      <c r="A158" t="inlineStr">
        <is>
          <t>ws2_seat_compression</t>
        </is>
      </c>
      <c r="B158" t="inlineStr">
        <is>
          <t>Interpublic year-end employees 2020</t>
        </is>
      </c>
      <c r="C158" t="inlineStr">
        <is>
          <t>50200</t>
        </is>
      </c>
      <c r="D158" t="inlineStr">
        <is>
          <t>https://www.sec.gov/Archives/edgar/data/51644/000005164421000012/ipg-20201231.htm</t>
        </is>
      </c>
      <c r="E158" t="inlineStr">
        <is>
          <t>2026-10-02</t>
        </is>
      </c>
      <c r="F158" t="inlineStr">
        <is>
          <t>retrieved via WebSearch snippet; page not fetchable from this environment. via WebSearch snippet</t>
        </is>
      </c>
    </row>
    <row r="159">
      <c r="A159" t="inlineStr">
        <is>
          <t>ws2_seat_compression</t>
        </is>
      </c>
      <c r="B159" t="inlineStr">
        <is>
          <t>Interpublic year-end employees 2021</t>
        </is>
      </c>
      <c r="C159" t="inlineStr">
        <is>
          <t>55600</t>
        </is>
      </c>
      <c r="D159" t="inlineStr">
        <is>
          <t>https://www.sec.gov/Archives/edgar/data/51644/000005164422000010/ipg-20211231.htm</t>
        </is>
      </c>
      <c r="E159" t="inlineStr">
        <is>
          <t>2026-10-02</t>
        </is>
      </c>
      <c r="F159" t="inlineStr">
        <is>
          <t>retrieved via WebSearch snippet; page not fetchable from this environment. via WebSearch snippet</t>
        </is>
      </c>
    </row>
    <row r="160">
      <c r="A160" t="inlineStr">
        <is>
          <t>ws2_seat_compression</t>
        </is>
      </c>
      <c r="B160" t="inlineStr">
        <is>
          <t>Interpublic year-end employees 2022</t>
        </is>
      </c>
      <c r="C160" t="inlineStr">
        <is>
          <t>58400</t>
        </is>
      </c>
      <c r="D160" t="inlineStr">
        <is>
          <t>https://www.sec.gov/Archives/edgar/data/51644/000005164423000010/ipg-20221231.htm</t>
        </is>
      </c>
      <c r="E160" t="inlineStr">
        <is>
          <t>2026-10-02</t>
        </is>
      </c>
      <c r="F160" t="inlineStr">
        <is>
          <t>retrieved via WebSearch snippet; page not fetchable from this environment. via WebSearch snippet</t>
        </is>
      </c>
    </row>
    <row r="161">
      <c r="A161" t="inlineStr">
        <is>
          <t>ws2_seat_compression</t>
        </is>
      </c>
      <c r="B161" t="inlineStr">
        <is>
          <t>Interpublic year-end employees 2023</t>
        </is>
      </c>
      <c r="C161" t="inlineStr">
        <is>
          <t>57400</t>
        </is>
      </c>
      <c r="D161" t="inlineStr">
        <is>
          <t>https://www.sec.gov/Archives/edgar/data/51644/000005164424000013/ipg-20231231.htm</t>
        </is>
      </c>
      <c r="E161" t="inlineStr">
        <is>
          <t>2026-10-02</t>
        </is>
      </c>
      <c r="F161" t="inlineStr">
        <is>
          <t>retrieved via WebSearch snippet; page not fetchable from this environment. via WebSearch snippet</t>
        </is>
      </c>
    </row>
    <row r="162">
      <c r="A162" t="inlineStr">
        <is>
          <t>ws2_seat_compression</t>
        </is>
      </c>
      <c r="B162" t="inlineStr">
        <is>
          <t>Interpublic year-end employees 2024</t>
        </is>
      </c>
      <c r="C162" t="inlineStr">
        <is>
          <t>53300</t>
        </is>
      </c>
      <c r="D162" t="inlineStr">
        <is>
          <t>https://www.sec.gov/Archives/edgar/data/51644/000005164425000024/ipg-20241231.htm</t>
        </is>
      </c>
      <c r="E162" t="inlineStr">
        <is>
          <t>2026-10-02</t>
        </is>
      </c>
      <c r="F162" t="inlineStr">
        <is>
          <t>retrieved via WebSearch snippet; page not fetchable from this environment. via WebSearch snippet; last standalone year</t>
        </is>
      </c>
    </row>
    <row r="163">
      <c r="A163" t="inlineStr">
        <is>
          <t>ws2_seat_compression</t>
        </is>
      </c>
      <c r="B163" t="inlineStr">
        <is>
          <t>Interpublic year-end employees 2025</t>
        </is>
      </c>
      <c r="D163" t="inlineStr">
        <is>
          <t>https://www.sec.gov/Archives/edgar/data/29989/000002998926000006/omc-20251231.htm</t>
        </is>
      </c>
      <c r="E163" t="inlineStr">
        <is>
          <t>2026-10-02</t>
        </is>
      </c>
      <c r="F163" t="inlineStr">
        <is>
          <t>retrieved via WebSearch snippet; page not fetchable from this environment. NOT APPLICABLE: acquired by Omnicom 26 Nov 2025; included in Omnicom 2025 figure</t>
        </is>
      </c>
    </row>
    <row r="164">
      <c r="A164" t="inlineStr">
        <is>
          <t>ws2_seat_compression</t>
        </is>
      </c>
      <c r="B164" t="inlineStr">
        <is>
          <t>Indeed Hiring Lab US job postings by sector (daily index, Feb 1 2020 = 100)</t>
        </is>
      </c>
      <c r="C164" t="inlineStr">
        <is>
          <t>file</t>
        </is>
      </c>
      <c r="D164" t="inlineStr">
        <is>
          <t>https://raw.githubusercontent.com/hiring-lab/job_postings_tracker/master/US/job_postings_by_sector_US.csv</t>
        </is>
      </c>
      <c r="E164" t="inlineStr">
        <is>
          <t>2026-10-02</t>
        </is>
      </c>
      <c r="F164" t="inlineStr">
        <is>
          <t>downloaded 2026-10-02; last date 2026-09-25</t>
        </is>
      </c>
    </row>
    <row r="165">
      <c r="A165" t="inlineStr">
        <is>
          <t>ws2_seat_compression</t>
        </is>
      </c>
      <c r="B165" t="inlineStr">
        <is>
          <t>Indeed Hiring Lab US aggregate job postings (SA/NSA)</t>
        </is>
      </c>
      <c r="C165" t="inlineStr">
        <is>
          <t>file</t>
        </is>
      </c>
      <c r="D165" t="inlineStr">
        <is>
          <t>https://raw.githubusercontent.com/hiring-lab/job_postings_tracker/master/US/aggregate_job_postings_US.csv</t>
        </is>
      </c>
      <c r="E165" t="inlineStr">
        <is>
          <t>2026-10-02</t>
        </is>
      </c>
      <c r="F165" t="inlineStr">
        <is>
          <t>downloaded 2026-10-02; last date 2026-09-25</t>
        </is>
      </c>
    </row>
    <row r="166">
      <c r="A166" t="inlineStr">
        <is>
          <t>ws2_seat_compression</t>
        </is>
      </c>
      <c r="B166" t="inlineStr">
        <is>
          <t>Indeed creative postings Sep 2026 (Media &amp; Comm / Marketing / Arts &amp; Ent / Total SA)</t>
        </is>
      </c>
      <c r="C166" t="inlineStr">
        <is>
          <t>70.7 / 76.3 / 84.2 / 103.2</t>
        </is>
      </c>
      <c r="D166" t="inlineStr">
        <is>
          <t>https://raw.githubusercontent.com/hiring-lab/job_postings_tracker/master/US/job_postings_by_sector_US.csv</t>
        </is>
      </c>
      <c r="E166" t="inlineStr">
        <is>
          <t>2026-10-02</t>
        </is>
      </c>
      <c r="F166" t="inlineStr">
        <is>
          <t>monthly mean of daily index, computed in data/indeed_postings_monthly.csv</t>
        </is>
      </c>
    </row>
    <row r="167">
      <c r="A167" t="inlineStr">
        <is>
          <t>ws2_seat_compression</t>
        </is>
      </c>
      <c r="B167" t="inlineStr">
        <is>
          <t>BLS OOH graphic designers 2025-35 narrative: AI/automated design tools projected to raise productivity and reduce need for workers</t>
        </is>
      </c>
      <c r="C167" t="inlineStr">
        <is>
          <t>-2% (-4,200)</t>
        </is>
      </c>
      <c r="D167" t="inlineStr">
        <is>
          <t>https://www.bls.gov/ooh/arts-and-design/graphic-designers.htm</t>
        </is>
      </c>
      <c r="E167" t="inlineStr">
        <is>
          <t>2026-10-02</t>
        </is>
      </c>
      <c r="F167" t="inlineStr">
        <is>
          <t>retrieved via WebSearch snippet; page not fetchable from this environment</t>
        </is>
      </c>
    </row>
    <row r="168">
      <c r="A168" t="inlineStr">
        <is>
          <t>ws2_seat_compression</t>
        </is>
      </c>
      <c r="B168" t="inlineStr">
        <is>
          <t>Adobe AI research 'Economic State of Creative Professions' (Jun 2026): 5 of 9 creative occupations lost real purchasing power over the decade</t>
        </is>
      </c>
      <c r="C168" t="inlineStr">
        <is>
          <t>qualitative</t>
        </is>
      </c>
      <c r="D168" t="inlineStr">
        <is>
          <t>https://www.adobe.com/ai/research/202606/economic-state-of-creative-professions.html</t>
        </is>
      </c>
      <c r="E168" t="inlineStr">
        <is>
          <t>2026-10-02</t>
        </is>
      </c>
      <c r="F168" t="inlineStr">
        <is>
          <t>retrieved via WebSearch snippet; page not fetchable from this environment; adobe.com blocked</t>
        </is>
      </c>
    </row>
    <row r="169">
      <c r="A169" t="inlineStr">
        <is>
          <t>ws2_seat_compression</t>
        </is>
      </c>
      <c r="B169" t="inlineStr">
        <is>
          <t>Omnicom and IPG jointly cut headcount in 2025</t>
        </is>
      </c>
      <c r="C169" t="inlineStr">
        <is>
          <t>~8,200</t>
        </is>
      </c>
      <c r="D169" t="inlineStr">
        <is>
          <t>https://www.mmm-online.com/news/omnicom-and-ipg-jointly-cut-headcount-by-8200-in-2025/</t>
        </is>
      </c>
      <c r="E169" t="inlineStr">
        <is>
          <t>2026-10-02</t>
        </is>
      </c>
      <c r="F169" t="inlineStr">
        <is>
          <t>retrieved via WebSearch snippet; page not fetchable from this environment</t>
        </is>
      </c>
    </row>
    <row r="170">
      <c r="A170" t="inlineStr">
        <is>
          <t>ws3_task_exposure</t>
        </is>
      </c>
      <c r="B170" t="inlineStr">
        <is>
          <t>O*NET task statements for 6 occupations (102 tasks) incl. task type</t>
        </is>
      </c>
      <c r="C170" t="inlineStr">
        <is>
          <t>19,265 task rows in file; 6 occupations n=16/16/14/23/20/13</t>
        </is>
      </c>
      <c r="D170" t="inlineStr">
        <is>
          <t>https://raw.githubusercontent.com/openai/GPTs-are-GPTs/main/data/full_labelset.tsv</t>
        </is>
      </c>
      <c r="E170" t="inlineStr">
        <is>
          <t>2026-10-02</t>
        </is>
      </c>
      <c r="F170" t="inlineStr">
        <is>
          <t>downloaded; saved data/raw/gpts_full_labelset.tsv; O*NET 27.2 vintage inferred from row count</t>
        </is>
      </c>
    </row>
    <row r="171">
      <c r="A171" t="inlineStr">
        <is>
          <t>ws3_task_exposure</t>
        </is>
      </c>
      <c r="B171" t="inlineStr">
        <is>
          <t>O*NET 27.2 task_statements table row count</t>
        </is>
      </c>
      <c r="C171" t="inlineStr">
        <is>
          <t>19,265 rows</t>
        </is>
      </c>
      <c r="D171" t="inlineStr">
        <is>
          <t>https://www.onetcenter.org/dictionary/27.2/mysql/task_statements.html</t>
        </is>
      </c>
      <c r="E171" t="inlineStr">
        <is>
          <t>2026-10-02</t>
        </is>
      </c>
      <c r="F171" t="inlineStr">
        <is>
          <t>retrieved via WebSearch snippet; page not fetchable from this environment</t>
        </is>
      </c>
    </row>
    <row r="172">
      <c r="A172" t="inlineStr">
        <is>
          <t>ws3_task_exposure</t>
        </is>
      </c>
      <c r="B172" t="inlineStr">
        <is>
          <t>Eloundou task-level exposure labels (gpt4_exposure, human_labels, alpha/beta/gamma)</t>
        </is>
      </c>
      <c r="C172" t="inlineStr">
        <is>
          <t>E0/E1/E2 per task; alpha/beta/gamma columns derive from GPT-4 label (verified)</t>
        </is>
      </c>
      <c r="D172" t="inlineStr">
        <is>
          <t>https://raw.githubusercontent.com/openai/GPTs-are-GPTs/main/data/full_labelset.tsv</t>
        </is>
      </c>
      <c r="E172" t="inlineStr">
        <is>
          <t>2026-10-02</t>
        </is>
      </c>
      <c r="F172" t="inlineStr">
        <is>
          <t>downloaded</t>
        </is>
      </c>
    </row>
    <row r="173">
      <c r="A173" t="inlineStr">
        <is>
          <t>ws3_task_exposure</t>
        </is>
      </c>
      <c r="B173" t="inlineStr">
        <is>
          <t>Eloundou core/supplemental task weights (coreweight 2/1, equalweight)</t>
        </is>
      </c>
      <c r="C173" t="inlineStr">
        <is>
          <t>no importance weight available</t>
        </is>
      </c>
      <c r="D173" t="inlineStr">
        <is>
          <t>https://raw.githubusercontent.com/openai/GPTs-are-GPTs/main/data/full_onet_data.tsv</t>
        </is>
      </c>
      <c r="E173" t="inlineStr">
        <is>
          <t>2026-10-02</t>
        </is>
      </c>
      <c r="F173" t="inlineStr">
        <is>
          <t>downloaded; saved data/raw/gpts_full_onet_data.tsv</t>
        </is>
      </c>
    </row>
    <row r="174">
      <c r="A174" t="inlineStr">
        <is>
          <t>ws3_task_exposure</t>
        </is>
      </c>
      <c r="B174" t="inlineStr">
        <is>
          <t>Eloundou occupation-level scores dv_rating/human_rating alpha,beta,gamma for 923 occupations</t>
        </is>
      </c>
      <c r="C174" t="inlineStr">
        <is>
          <t>e.g. Graphic Designers human gamma 0.821, human alpha 0.000</t>
        </is>
      </c>
      <c r="D174" t="inlineStr">
        <is>
          <t>https://raw.githubusercontent.com/openai/GPTs-are-GPTs/main/data/occ_level.csv</t>
        </is>
      </c>
      <c r="E174" t="inlineStr">
        <is>
          <t>2026-10-02</t>
        </is>
      </c>
      <c r="F174" t="inlineStr">
        <is>
          <t>downloaded; README: dv_rating = GPT-4, human = annotators; _alpha=E1, _beta=E1+.5*E2, _gamma=E1+E2</t>
        </is>
      </c>
    </row>
    <row r="175">
      <c r="A175" t="inlineStr">
        <is>
          <t>ws3_task_exposure</t>
        </is>
      </c>
      <c r="B175" t="inlineStr">
        <is>
          <t>GPTs-are-GPTs repo version</t>
        </is>
      </c>
      <c r="C175" t="inlineStr">
        <is>
          <t>last commit 2025-10-04 'Update README.md' (0471612); occ_level.csv added 2025-10-03; data files uploaded 2024-06-20</t>
        </is>
      </c>
      <c r="D175" t="inlineStr">
        <is>
          <t>https://github.com/openai/GPTs-are-GPTs/commits/main</t>
        </is>
      </c>
      <c r="E175" t="inlineStr">
        <is>
          <t>2026-10-02</t>
        </is>
      </c>
      <c r="F175" t="inlineStr">
        <is>
          <t>WebFetch of commits page</t>
        </is>
      </c>
    </row>
    <row r="176">
      <c r="A176" t="inlineStr">
        <is>
          <t>ws3_task_exposure</t>
        </is>
      </c>
      <c r="B176" t="inlineStr">
        <is>
          <t>Eloundou exposure rubric definitions and date</t>
        </is>
      </c>
      <c r="C176" t="inlineStr">
        <is>
          <t>E0 none; E1 LLM alone &gt;=50% time saving; E2 LLM + additional software incl. image generation; arXiv March 2023</t>
        </is>
      </c>
      <c r="D176" t="inlineStr">
        <is>
          <t>https://arxiv.org/pdf/2303.10130</t>
        </is>
      </c>
      <c r="E176" t="inlineStr">
        <is>
          <t>2026-10-02</t>
        </is>
      </c>
      <c r="F176" t="inlineStr">
        <is>
          <t>retrieved via WebSearch snippet</t>
        </is>
      </c>
    </row>
    <row r="177">
      <c r="A177" t="inlineStr">
        <is>
          <t>ws3_task_exposure</t>
        </is>
      </c>
      <c r="B177" t="inlineStr">
        <is>
          <t>AIOE scores by occupation (774 SOC codes)</t>
        </is>
      </c>
      <c r="C177" t="inlineStr">
        <is>
          <t>e.g. Marketing Managers 1.315; Graphic Designers 0.716</t>
        </is>
      </c>
      <c r="D177" t="inlineStr">
        <is>
          <t>https://raw.githubusercontent.com/AIOE-Data/AIOE/main/AIOE_DataAppendix.xlsx</t>
        </is>
      </c>
      <c r="E177" t="inlineStr">
        <is>
          <t>2026-10-02</t>
        </is>
      </c>
      <c r="F177" t="inlineStr">
        <is>
          <t>downloaded; sheet Appendix A</t>
        </is>
      </c>
    </row>
    <row r="178">
      <c r="A178" t="inlineStr">
        <is>
          <t>ws3_task_exposure</t>
        </is>
      </c>
      <c r="B178" t="inlineStr">
        <is>
          <t>Image Generation AIOE by occupation</t>
        </is>
      </c>
      <c r="C178" t="inlineStr">
        <is>
          <t>e.g. Art Directors 2.249; Graphic Designers 1.917</t>
        </is>
      </c>
      <c r="D178" t="inlineStr">
        <is>
          <t>https://raw.githubusercontent.com/AIOE-Data/AIOE/main/Image%20Generation%20AIOE%20and%20AIIE.xlsx</t>
        </is>
      </c>
      <c r="E178" t="inlineStr">
        <is>
          <t>2026-10-02</t>
        </is>
      </c>
      <c r="F178" t="inlineStr">
        <is>
          <t>downloaded; sheet IG AIOE</t>
        </is>
      </c>
    </row>
    <row r="179">
      <c r="A179" t="inlineStr">
        <is>
          <t>ws3_task_exposure</t>
        </is>
      </c>
      <c r="B179" t="inlineStr">
        <is>
          <t>Language Modeling AIOE by occupation</t>
        </is>
      </c>
      <c r="C179" t="inlineStr">
        <is>
          <t>e.g. Market Research Analysts 1.356; Graphic Designers 0.527</t>
        </is>
      </c>
      <c r="D179" t="inlineStr">
        <is>
          <t>https://raw.githubusercontent.com/AIOE-Data/AIOE/main/Language%20Modeling%20AIOE%20and%20AIIE.xlsx</t>
        </is>
      </c>
      <c r="E179" t="inlineStr">
        <is>
          <t>2026-10-02</t>
        </is>
      </c>
      <c r="F179" t="inlineStr">
        <is>
          <t>downloaded; sheet LM AIOE</t>
        </is>
      </c>
    </row>
    <row r="180">
      <c r="A180" t="inlineStr">
        <is>
          <t>ws3_task_exposure</t>
        </is>
      </c>
      <c r="B180" t="inlineStr">
        <is>
          <t>AIOE repo version</t>
        </is>
      </c>
      <c r="C180" t="inlineStr">
        <is>
          <t>last commit 2024-06-03 'Update README.md'; generative-AI files uploaded Mar-May 2023</t>
        </is>
      </c>
      <c r="D180" t="inlineStr">
        <is>
          <t>https://github.com/AIOE-Data/AIOE/commits/main</t>
        </is>
      </c>
      <c r="E180" t="inlineStr">
        <is>
          <t>2026-10-02</t>
        </is>
      </c>
      <c r="F180" t="inlineStr">
        <is>
          <t>WebFetch of commits page; citation Felten Raj Seamans SMJ 2021 42(12):2195-2217</t>
        </is>
      </c>
    </row>
    <row r="181">
      <c r="A181" t="inlineStr">
        <is>
          <t>ws3_task_exposure</t>
        </is>
      </c>
      <c r="B181" t="inlineStr">
        <is>
          <t>BLS OEWS May 2021 national employment, six codes</t>
        </is>
      </c>
      <c r="C181" t="inlineStr">
        <is>
          <t>27-1024 204,040; 27-1011 42,080; 27-1014 20,430; 27-4032 28,030; 11-2021 278,690; 13-1161 727,540</t>
        </is>
      </c>
      <c r="D181" t="inlineStr">
        <is>
          <t>https://raw.githubusercontent.com/openai/GPTs-are-GPTs/main/data/national_May2021_dl.csv</t>
        </is>
      </c>
      <c r="E181" t="inlineStr">
        <is>
          <t>2026-10-02</t>
        </is>
      </c>
      <c r="F181" t="inlineStr">
        <is>
          <t>BLS OEWS May 2021 national file mirrored in the GPTs-are-GPTs repo; bls.gov blocked; used as occupation weights</t>
        </is>
      </c>
    </row>
    <row r="182">
      <c r="A182" t="inlineStr">
        <is>
          <t>ws3_task_exposure</t>
        </is>
      </c>
      <c r="B182" t="inlineStr">
        <is>
          <t>BLS 2024 employment cross-check (OOH, Employment Projections basis)</t>
        </is>
      </c>
      <c r="C182" t="inlineStr">
        <is>
          <t>Graphic Designers 265,900 jobs; Art Directors 135,000; Market Research Analysts 941,700 (2024)</t>
        </is>
      </c>
      <c r="D182" t="inlineStr">
        <is>
          <t>https://www.bls.gov/ooh/arts-and-design/graphic-designers.htm</t>
        </is>
      </c>
      <c r="E182" t="inlineStr">
        <is>
          <t>2026-10-02</t>
        </is>
      </c>
      <c r="F182" t="inlineStr">
        <is>
          <t>retrieved via WebSearch snippet; page not fetchable; OOH figures include self-employed so not comparable to OEWS; NOT used for weights</t>
        </is>
      </c>
    </row>
    <row r="183">
      <c r="A183" t="inlineStr">
        <is>
          <t>ws3_task_exposure</t>
        </is>
      </c>
      <c r="B183" t="inlineStr">
        <is>
          <t>BLS OEWS May 2024 Marketing Managers employment (secondary site)</t>
        </is>
      </c>
      <c r="C183" t="inlineStr">
        <is>
          <t>225,460 (claimed OEWS May 2024)</t>
        </is>
      </c>
      <c r="D183" t="inlineStr">
        <is>
          <t>https://www.salarytruth.org/salary/marketing-manager</t>
        </is>
      </c>
      <c r="E183" t="inlineStr">
        <is>
          <t>2026-10-02</t>
        </is>
      </c>
      <c r="F183" t="inlineStr">
        <is>
          <t>secondary source via WebSearch; not verified; NOT used</t>
        </is>
      </c>
    </row>
    <row r="184">
      <c r="A184" t="inlineStr">
        <is>
          <t>ws3_task_exposure</t>
        </is>
      </c>
      <c r="B184" t="inlineStr">
        <is>
          <t>Adobe generative credits: plan-specific monthly allotment, 1 credit per standard generation, no rollover</t>
        </is>
      </c>
      <c r="C184" t="inlineStr">
        <is>
          <t>Creative Cloud, Express, Firefly, Stock paid plans include monthly credits</t>
        </is>
      </c>
      <c r="D184" t="inlineStr">
        <is>
          <t>https://helpx.adobe.com/creative-cloud/apps/generative-ai/generative-credits-faq.html</t>
        </is>
      </c>
      <c r="E184" t="inlineStr">
        <is>
          <t>2026-10-02</t>
        </is>
      </c>
      <c r="F184" t="inlineStr">
        <is>
          <t>retrieved via WebSearch snippet; adobe.com not fetchable</t>
        </is>
      </c>
    </row>
    <row r="185">
      <c r="A185" t="inlineStr">
        <is>
          <t>ws3_task_exposure</t>
        </is>
      </c>
      <c r="B185" t="inlineStr">
        <is>
          <t>Adobe generative credits access and use (credits consumed by generative features)</t>
        </is>
      </c>
      <c r="C185" t="inlineStr">
        <is>
          <t>most standard features 1 credit/generation; premium features cost more</t>
        </is>
      </c>
      <c r="D185" t="inlineStr">
        <is>
          <t>https://helpx.adobe.com/creative-cloud/apps/generative-ai/generative-credits-access-and-use.html</t>
        </is>
      </c>
      <c r="E185" t="inlineStr">
        <is>
          <t>2026-10-02</t>
        </is>
      </c>
      <c r="F185" t="inlineStr">
        <is>
          <t>retrieved via WebSearch snippet</t>
        </is>
      </c>
    </row>
    <row r="186">
      <c r="A186" t="inlineStr">
        <is>
          <t>ws3_task_exposure</t>
        </is>
      </c>
      <c r="B186" t="inlineStr">
        <is>
          <t>Creative Cloud Pro includes unlimited standard generations + 4,000 premium credits/month</t>
        </is>
      </c>
      <c r="C186" t="inlineStr">
        <is>
          <t>CC Pro US$69.99/mo annual; CC Standard US$54.99/mo with 25 credits</t>
        </is>
      </c>
      <c r="D186" t="inlineStr">
        <is>
          <t>https://helpx.adobe.com/account/individual/subscriptions-and-plans/plan-types-and-eligibility/changes-to-individual-plan.html</t>
        </is>
      </c>
      <c r="E186" t="inlineStr">
        <is>
          <t>2026-10-02</t>
        </is>
      </c>
      <c r="F186" t="inlineStr">
        <is>
          <t>helpx page cited by WebSearch; price figures from secondary summaries (costbench/weandthecolor) in the same search; treat prices as approximate</t>
        </is>
      </c>
    </row>
    <row r="187">
      <c r="A187" t="inlineStr">
        <is>
          <t>ws3_task_exposure</t>
        </is>
      </c>
      <c r="B187" t="inlineStr">
        <is>
          <t>Adobe Express Premium price and credits</t>
        </is>
      </c>
      <c r="C187" t="inlineStr">
        <is>
          <t>US$9.99/month; 250 generative credits/month; one-click resize</t>
        </is>
      </c>
      <c r="D187" t="inlineStr">
        <is>
          <t>https://www.adobe.com/express/pricing</t>
        </is>
      </c>
      <c r="E187" t="inlineStr">
        <is>
          <t>2026-10-02</t>
        </is>
      </c>
      <c r="F187" t="inlineStr">
        <is>
          <t>retrieved via WebSearch snippet; adobe.com not fetchable</t>
        </is>
      </c>
    </row>
    <row r="188">
      <c r="A188" t="inlineStr">
        <is>
          <t>ws3_task_exposure</t>
        </is>
      </c>
      <c r="B188" t="inlineStr">
        <is>
          <t>Enterprise shared generative credit pool</t>
        </is>
      </c>
      <c r="C188" t="inlineStr">
        <is>
          <t>organizations can enable shared credits</t>
        </is>
      </c>
      <c r="D188" t="inlineStr">
        <is>
          <t>https://helpx.adobe.com/enterprise/using/generative-credit-pool.html</t>
        </is>
      </c>
      <c r="E188" t="inlineStr">
        <is>
          <t>2026-10-02</t>
        </is>
      </c>
      <c r="F188" t="inlineStr">
        <is>
          <t>retrieved via WebSearch snippet</t>
        </is>
      </c>
    </row>
    <row r="189">
      <c r="A189" t="inlineStr">
        <is>
          <t>ws3_task_exposure</t>
        </is>
      </c>
      <c r="B189" t="inlineStr">
        <is>
          <t>Firefly Services: APIs for generation at scale (Firefly, Photoshop, Lightroom, Content Tagging APIs); resize for any channel; Object Composite; Translate and Lip-Sync</t>
        </is>
      </c>
      <c r="C189" t="inlineStr">
        <is>
          <t>consumption via generative credits under enterprise contract; no public rate card</t>
        </is>
      </c>
      <c r="D189" t="inlineStr">
        <is>
          <t>https://business.adobe.com/products/firefly-business/firefly-services.html</t>
        </is>
      </c>
      <c r="E189" t="inlineStr">
        <is>
          <t>2026-10-02</t>
        </is>
      </c>
      <c r="F189" t="inlineStr">
        <is>
          <t>retrieved via WebSearch snippet; see also https://developer.adobe.com/firefly-services/docs/guides</t>
        </is>
      </c>
    </row>
    <row r="190">
      <c r="A190" t="inlineStr">
        <is>
          <t>ws3_task_exposure</t>
        </is>
      </c>
      <c r="B190" t="inlineStr">
        <is>
          <t>Firefly Services pricing is credit/volume based, enterprise contract</t>
        </is>
      </c>
      <c r="C190" t="inlineStr">
        <is>
          <t>community-reported ~US$0.02-0.10 per image; indicative GBP 10-25 per 1,000 credits</t>
        </is>
      </c>
      <c r="D190" t="inlineStr">
        <is>
          <t>https://sudomock.com/blog/adobe-firefly-api-pricing-2026</t>
        </is>
      </c>
      <c r="E190" t="inlineStr">
        <is>
          <t>2026-10-02</t>
        </is>
      </c>
      <c r="F190" t="inlineStr">
        <is>
          <t>secondary sources via WebSearch; not Adobe; used only to characterise the model as usage-based</t>
        </is>
      </c>
    </row>
    <row r="191">
      <c r="A191" t="inlineStr">
        <is>
          <t>ws3_task_exposure</t>
        </is>
      </c>
      <c r="B191" t="inlineStr">
        <is>
          <t>GenStudio for Performance Marketing: brand-compliance scoring, 4 variations per generation, Workfront review/approval integration; custom enterprise pricing</t>
        </is>
      </c>
      <c r="C191" t="inlineStr">
        <is>
          <t>pricing on request</t>
        </is>
      </c>
      <c r="D191" t="inlineStr">
        <is>
          <t>https://business.adobe.com/products/genstudio-for-performance-marketing/brand-compliance.html</t>
        </is>
      </c>
      <c r="E191" t="inlineStr">
        <is>
          <t>2026-10-02</t>
        </is>
      </c>
      <c r="F191" t="inlineStr">
        <is>
          <t>retrieved via WebSearch snippet; also https://experienceleague.adobe.com/en/docs/genstudio-for-performance-marketing/user-guide/release-notes</t>
        </is>
      </c>
    </row>
    <row r="192">
      <c r="A192" t="inlineStr">
        <is>
          <t>ws3_task_exposure</t>
        </is>
      </c>
      <c r="B192" t="inlineStr">
        <is>
          <t>AEM Assets packaging: Prime and Ultimate; Prime includes Content Hub, Dynamic Media, 30TB storage</t>
        </is>
      </c>
      <c r="C192" t="inlineStr">
        <is>
          <t>enterprise platform, custom pricing</t>
        </is>
      </c>
      <c r="D192" t="inlineStr">
        <is>
          <t>https://business.adobe.com/products/experience-manager/assets/pricing.html</t>
        </is>
      </c>
      <c r="E192" t="inlineStr">
        <is>
          <t>2026-10-02</t>
        </is>
      </c>
      <c r="F192" t="inlineStr">
        <is>
          <t>retrieved via WebSearch snippet</t>
        </is>
      </c>
    </row>
    <row r="193">
      <c r="A193" t="inlineStr">
        <is>
          <t>ws3_task_exposure</t>
        </is>
      </c>
      <c r="B193" t="inlineStr">
        <is>
          <t>Workfront unified review and approval with Frame.io; publish approved assets to AEM Assets</t>
        </is>
      </c>
      <c r="C193" t="inlineStr">
        <is>
          <t>enterprise platform</t>
        </is>
      </c>
      <c r="D193" t="inlineStr">
        <is>
          <t>https://experienceleague.adobe.com/en/docs/workfront/using/review-and-approve-work/document-approvals-overview</t>
        </is>
      </c>
      <c r="E193" t="inlineStr">
        <is>
          <t>2026-10-02</t>
        </is>
      </c>
      <c r="F193" t="inlineStr">
        <is>
          <t>retrieved via WebSearch snippet; also .../native-integrations/use-aem-with-frame</t>
        </is>
      </c>
    </row>
    <row r="194">
      <c r="A194" t="inlineStr">
        <is>
          <t>ws3_task_exposure</t>
        </is>
      </c>
      <c r="B194" t="inlineStr">
        <is>
          <t>Stage classification rule vs hand agreement</t>
        </is>
      </c>
      <c r="C194" t="inlineStr">
        <is>
          <t>85.3% (87/102); 100% hand-checked</t>
        </is>
      </c>
      <c r="D194" t="inlineStr">
        <is>
          <t>data/task_stage_classification.csv</t>
        </is>
      </c>
      <c r="E194" t="inlineStr">
        <is>
          <t>2026-10-02</t>
        </is>
      </c>
      <c r="F194" t="inlineStr">
        <is>
          <t>own computation</t>
        </is>
      </c>
    </row>
    <row r="195">
      <c r="A195" t="inlineStr">
        <is>
          <t>ws3_task_exposure</t>
        </is>
      </c>
      <c r="B195" t="inlineStr">
        <is>
          <t>Share of highly exposed creative task weight (human labels) in seat-monetized stages</t>
        </is>
      </c>
      <c r="C195" t="inlineStr">
        <is>
          <t>71.6% (GPT-4 labels: 61.7%); usage-monetized 1.2% (10.2%)</t>
        </is>
      </c>
      <c r="D195" t="inlineStr">
        <is>
          <t>data/exposure_by_stage.csv</t>
        </is>
      </c>
      <c r="E195" t="inlineStr">
        <is>
          <t>2026-10-02</t>
        </is>
      </c>
      <c r="F195" t="inlineStr">
        <is>
          <t>own computation, creative4_emp_weighted scheme</t>
        </is>
      </c>
    </row>
    <row r="196">
      <c r="A196" t="inlineStr">
        <is>
          <t>ws4_call_nlp</t>
        </is>
      </c>
      <c r="B196" t="inlineStr">
        <is>
          <t>FY23_Q1 full earnings-call transcript (analyst questions, management text)</t>
        </is>
      </c>
      <c r="C196" t="inlineStr">
        <is>
          <t>full text</t>
        </is>
      </c>
      <c r="D196" t="inlineStr">
        <is>
          <t>https://raw.githubusercontent.com/mustafaazad03/vectorsearch/main/src/data/ADBE_transcripts/20230315%20Adobe%20Inc.%2C%20Q1%202023%20Earnings%20Call%2C%20Mar%2015%2C%202023.txt</t>
        </is>
      </c>
      <c r="E196" t="inlineStr">
        <is>
          <t>2026-10-02</t>
        </is>
      </c>
      <c r="F196" t="inlineStr">
        <is>
          <t>GitHub mirror of third-party transcript (CapIQ layout for FY23-FY24Q2, Motley-Fool-style for FY24Q3-FY25Q1/FY26Q1); downloaded via raw.githubusercontent.com; saved in data/transcripts/</t>
        </is>
      </c>
    </row>
    <row r="197">
      <c r="A197" t="inlineStr">
        <is>
          <t>ws4_call_nlp</t>
        </is>
      </c>
      <c r="B197" t="inlineStr">
        <is>
          <t>FY23_Q2 full earnings-call transcript (analyst questions, management text)</t>
        </is>
      </c>
      <c r="C197" t="inlineStr">
        <is>
          <t>full text</t>
        </is>
      </c>
      <c r="D197" t="inlineStr">
        <is>
          <t>https://raw.githubusercontent.com/mustafaazad03/vectorsearch/main/src/data/ADBE_transcripts/20230615%20Adobe%20Inc.%2C%20Q2%202023%20Earnings%20Call%2C%20Jun%2015%2C%202023.txt</t>
        </is>
      </c>
      <c r="E197" t="inlineStr">
        <is>
          <t>2026-10-02</t>
        </is>
      </c>
      <c r="F197" t="inlineStr">
        <is>
          <t>GitHub mirror of third-party transcript (CapIQ layout for FY23-FY24Q2, Motley-Fool-style for FY24Q3-FY25Q1/FY26Q1); downloaded via raw.githubusercontent.com; saved in data/transcripts/</t>
        </is>
      </c>
    </row>
    <row r="198">
      <c r="A198" t="inlineStr">
        <is>
          <t>ws4_call_nlp</t>
        </is>
      </c>
      <c r="B198" t="inlineStr">
        <is>
          <t>FY23_Q3 full earnings-call transcript (analyst questions, management text)</t>
        </is>
      </c>
      <c r="C198" t="inlineStr">
        <is>
          <t>full text</t>
        </is>
      </c>
      <c r="D198" t="inlineStr">
        <is>
          <t>https://raw.githubusercontent.com/mustafaazad03/vectorsearch/main/src/data/ADBE_transcripts/20230914%20Adobe%20Inc.%2C%20Q3%202023%20Earnings%20Call%2C%20Sep%2014%2C%202023.txt</t>
        </is>
      </c>
      <c r="E198" t="inlineStr">
        <is>
          <t>2026-10-02</t>
        </is>
      </c>
      <c r="F198" t="inlineStr">
        <is>
          <t>GitHub mirror of third-party transcript (CapIQ layout for FY23-FY24Q2, Motley-Fool-style for FY24Q3-FY25Q1/FY26Q1); downloaded via raw.githubusercontent.com; saved in data/transcripts/</t>
        </is>
      </c>
    </row>
    <row r="199">
      <c r="A199" t="inlineStr">
        <is>
          <t>ws4_call_nlp</t>
        </is>
      </c>
      <c r="B199" t="inlineStr">
        <is>
          <t>FY23_Q4 full earnings-call transcript (analyst questions, management text)</t>
        </is>
      </c>
      <c r="C199" t="inlineStr">
        <is>
          <t>full text</t>
        </is>
      </c>
      <c r="D199" t="inlineStr">
        <is>
          <t>https://raw.githubusercontent.com/mustafaazad03/vectorsearch/main/src/data/ADBE_transcripts/20231213%20Adobe%20Inc.%2C%20Q4%202023%20Earnings%20Call%2C%20Dec%2013%2C%202023.txt</t>
        </is>
      </c>
      <c r="E199" t="inlineStr">
        <is>
          <t>2026-10-02</t>
        </is>
      </c>
      <c r="F199" t="inlineStr">
        <is>
          <t>GitHub mirror of third-party transcript (CapIQ layout for FY23-FY24Q2, Motley-Fool-style for FY24Q3-FY25Q1/FY26Q1); downloaded via raw.githubusercontent.com; saved in data/transcripts/</t>
        </is>
      </c>
    </row>
    <row r="200">
      <c r="A200" t="inlineStr">
        <is>
          <t>ws4_call_nlp</t>
        </is>
      </c>
      <c r="B200" t="inlineStr">
        <is>
          <t>FY24_Q1 full earnings-call transcript (analyst questions, management text)</t>
        </is>
      </c>
      <c r="C200" t="inlineStr">
        <is>
          <t>full text</t>
        </is>
      </c>
      <c r="D200" t="inlineStr">
        <is>
          <t>https://raw.githubusercontent.com/mustafaazad03/vectorsearch/main/src/data/ADBE_transcripts/20240314%20Adobe%20Inc.%2C%20Q1%202024%20Earnings%20Call%2C%20Mar%2014%2C%202024.txt</t>
        </is>
      </c>
      <c r="E200" t="inlineStr">
        <is>
          <t>2026-10-02</t>
        </is>
      </c>
      <c r="F200" t="inlineStr">
        <is>
          <t>GitHub mirror of third-party transcript (CapIQ layout for FY23-FY24Q2, Motley-Fool-style for FY24Q3-FY25Q1/FY26Q1); downloaded via raw.githubusercontent.com; saved in data/transcripts/</t>
        </is>
      </c>
    </row>
    <row r="201">
      <c r="A201" t="inlineStr">
        <is>
          <t>ws4_call_nlp</t>
        </is>
      </c>
      <c r="B201" t="inlineStr">
        <is>
          <t>FY24_Q2 full earnings-call transcript (analyst questions, management text)</t>
        </is>
      </c>
      <c r="C201" t="inlineStr">
        <is>
          <t>full text</t>
        </is>
      </c>
      <c r="D201" t="inlineStr">
        <is>
          <t>https://raw.githubusercontent.com/mustafaazad03/vectorsearch/main/src/data/ADBE_transcripts/20240613%20Adobe%20Inc.%2C%20Q2%202024%20Earnings%20Call%2C%20Jun%2013%2C%202024.txt</t>
        </is>
      </c>
      <c r="E201" t="inlineStr">
        <is>
          <t>2026-10-02</t>
        </is>
      </c>
      <c r="F201" t="inlineStr">
        <is>
          <t>GitHub mirror of third-party transcript (CapIQ layout for FY23-FY24Q2, Motley-Fool-style for FY24Q3-FY25Q1/FY26Q1); downloaded via raw.githubusercontent.com; saved in data/transcripts/</t>
        </is>
      </c>
    </row>
    <row r="202">
      <c r="A202" t="inlineStr">
        <is>
          <t>ws4_call_nlp</t>
        </is>
      </c>
      <c r="B202" t="inlineStr">
        <is>
          <t>FY24_Q3 full earnings-call transcript (analyst questions, management text)</t>
        </is>
      </c>
      <c r="C202" t="inlineStr">
        <is>
          <t>full text</t>
        </is>
      </c>
      <c r="D202" t="inlineStr">
        <is>
          <t>https://raw.githubusercontent.com/Ngafney/garda-spring26/main/amir/transcripts/adobe/2024/Q3/ADBE_2024-10-10_Q3.txt</t>
        </is>
      </c>
      <c r="E202" t="inlineStr">
        <is>
          <t>2026-10-02</t>
        </is>
      </c>
      <c r="F202" t="inlineStr">
        <is>
          <t>GitHub mirror of third-party transcript (CapIQ layout for FY23-FY24Q2, Motley-Fool-style for FY24Q3-FY25Q1/FY26Q1); downloaded via raw.githubusercontent.com; saved in data/transcripts/</t>
        </is>
      </c>
    </row>
    <row r="203">
      <c r="A203" t="inlineStr">
        <is>
          <t>ws4_call_nlp</t>
        </is>
      </c>
      <c r="B203" t="inlineStr">
        <is>
          <t>FY24_Q4 full earnings-call transcript (analyst questions, management text)</t>
        </is>
      </c>
      <c r="C203" t="inlineStr">
        <is>
          <t>full text</t>
        </is>
      </c>
      <c r="D203" t="inlineStr">
        <is>
          <t>https://raw.githubusercontent.com/Ngafney/garda-spring26/main/amir/transcripts/adobe/2024/Q4/ADBE_2024-12-12_Q4.txt</t>
        </is>
      </c>
      <c r="E203" t="inlineStr">
        <is>
          <t>2026-10-02</t>
        </is>
      </c>
      <c r="F203" t="inlineStr">
        <is>
          <t>GitHub mirror of third-party transcript (CapIQ layout for FY23-FY24Q2, Motley-Fool-style for FY24Q3-FY25Q1/FY26Q1); downloaded via raw.githubusercontent.com; saved in data/transcripts/</t>
        </is>
      </c>
    </row>
    <row r="204">
      <c r="A204" t="inlineStr">
        <is>
          <t>ws4_call_nlp</t>
        </is>
      </c>
      <c r="B204" t="inlineStr">
        <is>
          <t>FY25_Q1 full earnings-call transcript (analyst questions, management text)</t>
        </is>
      </c>
      <c r="C204" t="inlineStr">
        <is>
          <t>full text</t>
        </is>
      </c>
      <c r="D204" t="inlineStr">
        <is>
          <t>https://raw.githubusercontent.com/Ngafney/garda-spring26/main/amir/transcripts/adobe/2025/Q1/ADBE_2025-03-13_Q1.txt</t>
        </is>
      </c>
      <c r="E204" t="inlineStr">
        <is>
          <t>2026-10-02</t>
        </is>
      </c>
      <c r="F204" t="inlineStr">
        <is>
          <t>GitHub mirror of third-party transcript (CapIQ layout for FY23-FY24Q2, Motley-Fool-style for FY24Q3-FY25Q1/FY26Q1); downloaded via raw.githubusercontent.com; saved in data/transcripts/</t>
        </is>
      </c>
    </row>
    <row r="205">
      <c r="A205" t="inlineStr">
        <is>
          <t>ws4_call_nlp</t>
        </is>
      </c>
      <c r="B205" t="inlineStr">
        <is>
          <t>FY26_Q1 full earnings-call transcript (analyst questions, management text)</t>
        </is>
      </c>
      <c r="C205" t="inlineStr">
        <is>
          <t>full text</t>
        </is>
      </c>
      <c r="D205" t="inlineStr">
        <is>
          <t>https://raw.githubusercontent.com/Ngafney/garda-spring26/main/amir/transcripts/adobe/2026/Q1/ADBE_2026-03-13_Q1.txt</t>
        </is>
      </c>
      <c r="E205" t="inlineStr">
        <is>
          <t>2026-10-02</t>
        </is>
      </c>
      <c r="F205" t="inlineStr">
        <is>
          <t>GitHub mirror of third-party transcript (CapIQ layout for FY23-FY24Q2, Motley-Fool-style for FY24Q3-FY25Q1/FY26Q1); downloaded via raw.githubusercontent.com; saved in data/transcripts/</t>
        </is>
      </c>
    </row>
    <row r="206">
      <c r="A206" t="inlineStr">
        <is>
          <t>ws4_call_nlp</t>
        </is>
      </c>
      <c r="B206" t="inlineStr">
        <is>
          <t>FY25_Q3 full transcript</t>
        </is>
      </c>
      <c r="C206" t="inlineStr">
        <is>
          <t>full text</t>
        </is>
      </c>
      <c r="D206" t="inlineStr">
        <is>
          <t>https://raw.githubusercontent.com/bencrowe0/citibank-arp/master/outputs/p2_adobe_ext2026_08_13/extracted/ADBE_FQ3_2025.txt</t>
        </is>
      </c>
      <c r="E206" t="inlineStr">
        <is>
          <t>2026-10-02</t>
        </is>
      </c>
      <c r="F206" t="inlineStr">
        <is>
          <t>GitHub mirror; file bundles Adobe press release + Insider Monkey transcript as one line</t>
        </is>
      </c>
    </row>
    <row r="207">
      <c r="A207" t="inlineStr">
        <is>
          <t>ws4_call_nlp</t>
        </is>
      </c>
      <c r="B207" t="inlineStr">
        <is>
          <t>FY26_Q2 transcript (Q&amp;A only; prepared remarks missing in source)</t>
        </is>
      </c>
      <c r="C207" t="inlineStr">
        <is>
          <t>Q&amp;A text</t>
        </is>
      </c>
      <c r="D207" t="inlineStr">
        <is>
          <t>https://raw.githubusercontent.com/bencrowe0/citibank-arp/master/outputs/p2_adobe_ext2026_08_13/extracted/ADBE_FQ2_2026.txt</t>
        </is>
      </c>
      <c r="E207" t="inlineStr">
        <is>
          <t>2026-10-02</t>
        </is>
      </c>
      <c r="F207" t="inlineStr">
        <is>
          <t>GitHub mirror of Insider Monkey transcript; press release bundled at top</t>
        </is>
      </c>
    </row>
    <row r="208">
      <c r="A208" t="inlineStr">
        <is>
          <t>ws4_call_nlp</t>
        </is>
      </c>
      <c r="B208" t="inlineStr">
        <is>
          <t>FY25_Q4 full transcript (structured LSEG JSON)</t>
        </is>
      </c>
      <c r="C208" t="inlineStr">
        <is>
          <t>full text</t>
        </is>
      </c>
      <c r="D208" t="inlineStr">
        <is>
          <t>https://raw.githubusercontent.com/yurukatsu/lseg-transcript-web/master/data/transcripts/16547194.json</t>
        </is>
      </c>
      <c r="E208" t="inlineStr">
        <is>
          <t>2026-10-02</t>
        </is>
      </c>
      <c r="F208" t="inlineStr">
        <is>
          <t>GitHub mirror of LSEG transcript JSON event 16547194 (Q4 2025 Adobe Inc Earnings Call, 2025-12-10)</t>
        </is>
      </c>
    </row>
    <row r="209">
      <c r="A209" t="inlineStr">
        <is>
          <t>ws4_call_nlp</t>
        </is>
      </c>
      <c r="B209" t="inlineStr">
        <is>
          <t>FY25_Q4 / FY26_Q1 cross-check copies</t>
        </is>
      </c>
      <c r="C209" t="inlineStr">
        <is>
          <t>full text</t>
        </is>
      </c>
      <c r="D209" t="inlineStr">
        <is>
          <t>https://raw.githubusercontent.com/Ngafney/garda-spring26/main/amir/transcripts/adobe/2025/Q4/ADBE_2025-12-10_Q4.txt ; https://raw.githubusercontent.com/bencrowe0/citibank-arp/master/outputs/p2_adobe_ext2026_08_13/extracted/ADBE_FQ1_2026.txt</t>
        </is>
      </c>
      <c r="E209" t="inlineStr">
        <is>
          <t>2026-10-02</t>
        </is>
      </c>
      <c r="F209" t="inlineStr">
        <is>
          <t>used only to cross-check speaker lists</t>
        </is>
      </c>
    </row>
    <row r="210">
      <c r="A210" t="inlineStr">
        <is>
          <t>ws4_call_nlp</t>
        </is>
      </c>
      <c r="B210" t="inlineStr">
        <is>
          <t>ADBE daily closes 2019-01-02..2026-07-30 (used for 14 call dates)</t>
        </is>
      </c>
      <c r="C210" t="inlineStr">
        <is>
          <t>CSV</t>
        </is>
      </c>
      <c r="D210" t="inlineStr">
        <is>
          <t>https://raw.githubusercontent.com/fja05680/brownbear/master/symbol-cache/ADBE.csv</t>
        </is>
      </c>
      <c r="E210" t="inlineStr">
        <is>
          <t>2026-10-02</t>
        </is>
      </c>
      <c r="F210" t="inlineStr">
        <is>
          <t>yfinance-derived OHLC in public GitHub repo fja05680/brownbear; closes identical to rosidotidev/algo1 db/tickers/ADBE.csv on overlapping dates</t>
        </is>
      </c>
    </row>
    <row r="211">
      <c r="A211" t="inlineStr">
        <is>
          <t>ws4_call_nlp</t>
        </is>
      </c>
      <c r="B211" t="inlineStr">
        <is>
          <t>ADBE close 2026-09-11 (next trading day after FY26 Q3 call)</t>
        </is>
      </c>
      <c r="C211" t="inlineStr">
        <is>
          <t>$252.23</t>
        </is>
      </c>
      <c r="D211" t="inlineStr">
        <is>
          <t>https://www.ad-hoc-news.de/boerse/news/corporate-news/adobe-inc-stock-gains-after-record-q3-and-raised-2026-guidance/70110548</t>
        </is>
      </c>
      <c r="E211" t="inlineStr">
        <is>
          <t>2026-10-02</t>
        </is>
      </c>
      <c r="F211" t="inlineStr">
        <is>
          <t>retrieved via WebSearch snippet; page not fetchable from this environment; single source, UNVERIFIED; price CSV ends 2026-07-30</t>
        </is>
      </c>
    </row>
    <row r="212">
      <c r="A212" t="inlineStr">
        <is>
          <t>ws4_call_nlp</t>
        </is>
      </c>
      <c r="B212" t="inlineStr">
        <is>
          <t>FY23 non-GAAP EPS target after Q1 FY23 call</t>
        </is>
      </c>
      <c r="C212" t="inlineStr">
        <is>
          <t>$15.30-15.60</t>
        </is>
      </c>
      <c r="D212" t="inlineStr">
        <is>
          <t>https://www.sec.gov/Archives/edgar/data/796343/000079634323000044/adbeex991q123.htm</t>
        </is>
      </c>
      <c r="E212" t="inlineStr">
        <is>
          <t>2026-10-02</t>
        </is>
      </c>
      <c r="F212" t="inlineStr">
        <is>
          <t>read from CFO prepared remarks in transcript; 8-K ex99.1 URL for reference (sec.gov not fetchable)</t>
        </is>
      </c>
    </row>
    <row r="213">
      <c r="A213" t="inlineStr">
        <is>
          <t>ws4_call_nlp</t>
        </is>
      </c>
      <c r="B213" t="inlineStr">
        <is>
          <t>FY23 non-GAAP EPS target after Q2 FY23 call</t>
        </is>
      </c>
      <c r="C213" t="inlineStr">
        <is>
          <t>$15.65-15.75</t>
        </is>
      </c>
      <c r="D213" t="inlineStr">
        <is>
          <t>https://www.sec.gov/Archives/edgar/data/796343/000079634323000133/adbeex991q223.htm</t>
        </is>
      </c>
      <c r="E213" t="inlineStr">
        <is>
          <t>2026-10-02</t>
        </is>
      </c>
      <c r="F213" t="inlineStr">
        <is>
          <t>transcript</t>
        </is>
      </c>
    </row>
    <row r="214">
      <c r="A214" t="inlineStr">
        <is>
          <t>ws4_call_nlp</t>
        </is>
      </c>
      <c r="B214" t="inlineStr">
        <is>
          <t>FY23 non-GAAP EPS implied after Q3 FY23 call</t>
        </is>
      </c>
      <c r="C214" t="inlineStr">
        <is>
          <t>$15.90-15.95 (9M actual 11.80 + Q4 target 4.10-4.15)</t>
        </is>
      </c>
      <c r="D214" t="inlineStr">
        <is>
          <t>https://www.sec.gov/Archives/edgar/data/796343/000079634323000198/adbeex991q323.htm</t>
        </is>
      </c>
      <c r="E214" t="inlineStr">
        <is>
          <t>2026-10-02</t>
        </is>
      </c>
      <c r="F214" t="inlineStr">
        <is>
          <t>FY range not restated in call text; implied</t>
        </is>
      </c>
    </row>
    <row r="215">
      <c r="A215" t="inlineStr">
        <is>
          <t>ws4_call_nlp</t>
        </is>
      </c>
      <c r="B215" t="inlineStr">
        <is>
          <t>FY24 initial non-GAAP EPS target (Q4 FY23 call, Dec-2023)</t>
        </is>
      </c>
      <c r="C215" t="inlineStr">
        <is>
          <t>$17.60-18.00</t>
        </is>
      </c>
      <c r="D215" t="inlineStr">
        <is>
          <t>https://www.sec.gov/Archives/edgar/data/796343/000079634323000252/adbeex991q423.htm</t>
        </is>
      </c>
      <c r="E215" t="inlineStr">
        <is>
          <t>2026-10-02</t>
        </is>
      </c>
      <c r="F215" t="inlineStr">
        <is>
          <t>transcript; matches orchestrator anchor</t>
        </is>
      </c>
    </row>
    <row r="216">
      <c r="A216" t="inlineStr">
        <is>
          <t>ws4_call_nlp</t>
        </is>
      </c>
      <c r="B216" t="inlineStr">
        <is>
          <t>FY24 non-GAAP EPS target after Q1 FY24 call</t>
        </is>
      </c>
      <c r="C216" t="inlineStr">
        <is>
          <t>$17.60-18.00 (carried; not updated on call)</t>
        </is>
      </c>
      <c r="D216" t="inlineStr">
        <is>
          <t>https://www.sec.gov/Archives/edgar/data/796343/000079634324000057/adbeex991q124.htm</t>
        </is>
      </c>
      <c r="E216" t="inlineStr">
        <is>
          <t>2026-10-02</t>
        </is>
      </c>
      <c r="F216" t="inlineStr">
        <is>
          <t>analyst asked management to affirm (Q&amp;A #3)</t>
        </is>
      </c>
    </row>
    <row r="217">
      <c r="A217" t="inlineStr">
        <is>
          <t>ws4_call_nlp</t>
        </is>
      </c>
      <c r="B217" t="inlineStr">
        <is>
          <t>FY24 non-GAAP EPS target after Q2 FY24 call</t>
        </is>
      </c>
      <c r="C217" t="inlineStr">
        <is>
          <t>$18.00-18.20</t>
        </is>
      </c>
      <c r="D217" t="inlineStr">
        <is>
          <t>https://www.sec.gov/Archives/edgar/data/796343/000079634324000140/adbeex991q224.htm</t>
        </is>
      </c>
      <c r="E217" t="inlineStr">
        <is>
          <t>2026-10-02</t>
        </is>
      </c>
      <c r="F217" t="inlineStr">
        <is>
          <t>transcript</t>
        </is>
      </c>
    </row>
    <row r="218">
      <c r="A218" t="inlineStr">
        <is>
          <t>ws4_call_nlp</t>
        </is>
      </c>
      <c r="B218" t="inlineStr">
        <is>
          <t>FY24 non-GAAP EPS implied after Q3 FY24 call</t>
        </is>
      </c>
      <c r="C218" t="inlineStr">
        <is>
          <t>$18.24-18.29 (9M actual 13.61 + Q4 target 4.63-4.68)</t>
        </is>
      </c>
      <c r="D218" t="inlineStr">
        <is>
          <t>https://www.sec.gov/Archives/edgar/data/796343/000079634324000200/adbeex991q324.htm</t>
        </is>
      </c>
      <c r="E218" t="inlineStr">
        <is>
          <t>2026-10-02</t>
        </is>
      </c>
      <c r="F218" t="inlineStr">
        <is>
          <t>implied</t>
        </is>
      </c>
    </row>
    <row r="219">
      <c r="A219" t="inlineStr">
        <is>
          <t>ws4_call_nlp</t>
        </is>
      </c>
      <c r="B219" t="inlineStr">
        <is>
          <t>FY25 initial non-GAAP EPS target (Q4 FY24 call, Dec-2024)</t>
        </is>
      </c>
      <c r="C219" t="inlineStr">
        <is>
          <t>$20.20-20.50</t>
        </is>
      </c>
      <c r="D219" t="inlineStr">
        <is>
          <t>https://www.sec.gov/Archives/edgar/data/796343/000079634324000250/adbeex991q424.htm</t>
        </is>
      </c>
      <c r="E219" t="inlineStr">
        <is>
          <t>2026-10-02</t>
        </is>
      </c>
      <c r="F219" t="inlineStr">
        <is>
          <t>transcript; matches orchestrator anchor</t>
        </is>
      </c>
    </row>
    <row r="220">
      <c r="A220" t="inlineStr">
        <is>
          <t>ws4_call_nlp</t>
        </is>
      </c>
      <c r="B220" t="inlineStr">
        <is>
          <t>FY25 non-GAAP EPS target after Q1 FY25 call</t>
        </is>
      </c>
      <c r="C220" t="inlineStr">
        <is>
          <t>$20.20-20.50 (reaffirmed)</t>
        </is>
      </c>
      <c r="D220" t="inlineStr">
        <is>
          <t>https://www.sec.gov/Archives/edgar/data/796343/000079634325000052/adbeex991q125.htm</t>
        </is>
      </c>
      <c r="E220" t="inlineStr">
        <is>
          <t>2026-10-02</t>
        </is>
      </c>
      <c r="F220" t="inlineStr">
        <is>
          <t>transcript: 'reaffirm our fiscal 25 targets'</t>
        </is>
      </c>
    </row>
    <row r="221">
      <c r="A221" t="inlineStr">
        <is>
          <t>ws4_call_nlp</t>
        </is>
      </c>
      <c r="B221" t="inlineStr">
        <is>
          <t>FY25 non-GAAP EPS target after Q2 FY25 call</t>
        </is>
      </c>
      <c r="C221" t="inlineStr">
        <is>
          <t>$20.50-20.70</t>
        </is>
      </c>
      <c r="D221" t="inlineStr">
        <is>
          <t>https://www.sec.gov/Archives/edgar/data/796343/000079634325000064/adbeex991q225.htm</t>
        </is>
      </c>
      <c r="E221" t="inlineStr">
        <is>
          <t>2026-10-02</t>
        </is>
      </c>
      <c r="F221" t="inlineStr">
        <is>
          <t>retrieved via WebSearch snippet; page not fetchable from this environment</t>
        </is>
      </c>
    </row>
    <row r="222">
      <c r="A222" t="inlineStr">
        <is>
          <t>ws4_call_nlp</t>
        </is>
      </c>
      <c r="B222" t="inlineStr">
        <is>
          <t>FY25 non-GAAP EPS target after Q3 FY25 call</t>
        </is>
      </c>
      <c r="C222" t="inlineStr">
        <is>
          <t>$20.80-20.85</t>
        </is>
      </c>
      <c r="D222" t="inlineStr">
        <is>
          <t>https://www.sec.gov/Archives/edgar/data/796343/000079634325000102/adbeex991q325.htm</t>
        </is>
      </c>
      <c r="E222" t="inlineStr">
        <is>
          <t>2026-10-02</t>
        </is>
      </c>
      <c r="F222" t="inlineStr">
        <is>
          <t>transcript</t>
        </is>
      </c>
    </row>
    <row r="223">
      <c r="A223" t="inlineStr">
        <is>
          <t>ws4_call_nlp</t>
        </is>
      </c>
      <c r="B223" t="inlineStr">
        <is>
          <t>FY26 initial non-GAAP EPS target (Q4 FY25 call, Dec-2025)</t>
        </is>
      </c>
      <c r="C223" t="inlineStr">
        <is>
          <t>$23.30-23.50</t>
        </is>
      </c>
      <c r="D223" t="inlineStr">
        <is>
          <t>https://www.sec.gov/Archives/edgar/data/796343/000079634325000135/adbeex991q425.htm</t>
        </is>
      </c>
      <c r="E223" t="inlineStr">
        <is>
          <t>2026-10-02</t>
        </is>
      </c>
      <c r="F223" t="inlineStr">
        <is>
          <t>transcript</t>
        </is>
      </c>
    </row>
    <row r="224">
      <c r="A224" t="inlineStr">
        <is>
          <t>ws4_call_nlp</t>
        </is>
      </c>
      <c r="B224" t="inlineStr">
        <is>
          <t>FY26 non-GAAP EPS target after Q1 FY26 call</t>
        </is>
      </c>
      <c r="C224" t="inlineStr">
        <is>
          <t>$23.30-23.50 (reaffirmed)</t>
        </is>
      </c>
      <c r="D224" t="inlineStr">
        <is>
          <t>https://www.sec.gov/Archives/edgar/data/796343/000079634326000048/adbeex991q126.htm</t>
        </is>
      </c>
      <c r="E224" t="inlineStr">
        <is>
          <t>2026-10-02</t>
        </is>
      </c>
      <c r="F224" t="inlineStr">
        <is>
          <t>transcript: 'reaffirming our FY 26 targets'</t>
        </is>
      </c>
    </row>
    <row r="225">
      <c r="A225" t="inlineStr">
        <is>
          <t>ws4_call_nlp</t>
        </is>
      </c>
      <c r="B225" t="inlineStr">
        <is>
          <t>FY26 non-GAAP EPS target after Q2 FY26 call</t>
        </is>
      </c>
      <c r="C225" t="inlineStr">
        <is>
          <t>$24.35-24.45</t>
        </is>
      </c>
      <c r="D225" t="inlineStr">
        <is>
          <t>https://www.sec.gov/Archives/edgar/data/0000796343/000079634326000109/adbeex991q226.htm</t>
        </is>
      </c>
      <c r="E225" t="inlineStr">
        <is>
          <t>2026-10-02</t>
        </is>
      </c>
      <c r="F225" t="inlineStr">
        <is>
          <t>press-release text bundled in transcript file + WebSearch snippet</t>
        </is>
      </c>
    </row>
    <row r="226">
      <c r="A226" t="inlineStr">
        <is>
          <t>ws4_call_nlp</t>
        </is>
      </c>
      <c r="B226" t="inlineStr">
        <is>
          <t>FY26 non-GAAP EPS target after Q3 FY26 call</t>
        </is>
      </c>
      <c r="C226" t="inlineStr">
        <is>
          <t>$24.45-24.50</t>
        </is>
      </c>
      <c r="D226" t="inlineStr">
        <is>
          <t>https://www.sec.gov/Archives/edgar/data/0000796343/000079634326000147/adbeex991q326.htm</t>
        </is>
      </c>
      <c r="E226" t="inlineStr">
        <is>
          <t>2026-10-02</t>
        </is>
      </c>
      <c r="F226" t="inlineStr">
        <is>
          <t>retrieved via WebSearch snippet; matches orchestrator anchor</t>
        </is>
      </c>
    </row>
    <row r="227">
      <c r="A227" t="inlineStr">
        <is>
          <t>ws4_call_nlp</t>
        </is>
      </c>
      <c r="B227" t="inlineStr">
        <is>
          <t>Q2 FY25 headline: revenue / non-GAAP EPS</t>
        </is>
      </c>
      <c r="C227" t="inlineStr">
        <is>
          <t>$5.87B / $5.06</t>
        </is>
      </c>
      <c r="D227" t="inlineStr">
        <is>
          <t>https://www.businesswire.com/news/home/20250612259889/en/Adobe-Reports-Record-Revenue-in-Q2-and-Raises-FY25-Revenue-and-EPS-Targets</t>
        </is>
      </c>
      <c r="E227" t="inlineStr">
        <is>
          <t>2026-10-02</t>
        </is>
      </c>
      <c r="F227" t="inlineStr">
        <is>
          <t>retrieved via WebSearch snippet</t>
        </is>
      </c>
    </row>
    <row r="228">
      <c r="A228" t="inlineStr">
        <is>
          <t>ws4_call_nlp</t>
        </is>
      </c>
      <c r="B228" t="inlineStr">
        <is>
          <t>Q2 FY26 headline: revenue / non-GAAP EPS</t>
        </is>
      </c>
      <c r="C228" t="inlineStr">
        <is>
          <t>$6.62B / $5.96</t>
        </is>
      </c>
      <c r="D228" t="inlineStr">
        <is>
          <t>https://www.sec.gov/Archives/edgar/data/0000796343/000079634326000109/adbeex991q226.htm</t>
        </is>
      </c>
      <c r="E228" t="inlineStr">
        <is>
          <t>2026-10-02</t>
        </is>
      </c>
      <c r="F228" t="inlineStr">
        <is>
          <t>revenue from bundled press-release text; EPS via WebSearch snippet</t>
        </is>
      </c>
    </row>
    <row r="229">
      <c r="A229" t="inlineStr">
        <is>
          <t>ws4_call_nlp</t>
        </is>
      </c>
      <c r="B229" t="inlineStr">
        <is>
          <t>Q3 FY26 headline: revenue / non-GAAP EPS / total ARR / AI-first ARR / RPO</t>
        </is>
      </c>
      <c r="C229" t="inlineStr">
        <is>
          <t>$6.76B / $6.13 / $27.50B / &gt;$650M / $22.16B (+8%)</t>
        </is>
      </c>
      <c r="D229" t="inlineStr">
        <is>
          <t>https://finance.yahoo.com/markets/stocks/articles/adobe-q3-2026-earnings-1-110958223.html</t>
        </is>
      </c>
      <c r="E229" t="inlineStr">
        <is>
          <t>2026-10-02</t>
        </is>
      </c>
      <c r="F229" t="inlineStr">
        <is>
          <t>retrieved via WebSearch snippet; primary is 8-K ex99.1 adbeex991q326.htm</t>
        </is>
      </c>
    </row>
    <row r="230">
      <c r="A230" t="inlineStr">
        <is>
          <t>ws4_call_nlp</t>
        </is>
      </c>
      <c r="B230" t="inlineStr">
        <is>
          <t>Q4 FY25 quarterly non-GAAP EPS</t>
        </is>
      </c>
      <c r="C230" t="inlineStr">
        <is>
          <t>$5.49 (derived: FY25 $20.94 minus 9M $15.45)</t>
        </is>
      </c>
      <c r="D230" t="inlineStr">
        <is>
          <t>https://www.sec.gov/Archives/edgar/data/796343/000079634325000135/adbeex991q425.htm</t>
        </is>
      </c>
      <c r="E230" t="inlineStr">
        <is>
          <t>2026-10-02</t>
        </is>
      </c>
      <c r="F230" t="inlineStr">
        <is>
          <t>FY figure from press-release text in transcript file</t>
        </is>
      </c>
    </row>
    <row r="231">
      <c r="A231" t="inlineStr">
        <is>
          <t>ws4_call_nlp</t>
        </is>
      </c>
      <c r="B231" t="inlineStr">
        <is>
          <t>FY25 Q2 call Q&amp;A (partial): Express-in-Acrobat pricing question; Adobe Stock video / commercially-safe question</t>
        </is>
      </c>
      <c r="C231" t="inlineStr">
        <is>
          <t>2 questions recovered</t>
        </is>
      </c>
      <c r="D231" t="inlineStr">
        <is>
          <t>https://markets.financialcontent.com/stocks/article/stockstory-2025-7-7-the-5-most-interesting-analyst-questions-from-adobes-q2-earnings-call</t>
        </is>
      </c>
      <c r="E231" t="inlineStr">
        <is>
          <t>2026-10-02</t>
        </is>
      </c>
      <c r="F231" t="inlineStr">
        <is>
          <t>retrieved via WebSearch snippet; page blocked; partial coverage</t>
        </is>
      </c>
    </row>
    <row r="232">
      <c r="A232" t="inlineStr">
        <is>
          <t>ws4_call_nlp</t>
        </is>
      </c>
      <c r="B232" t="inlineStr">
        <is>
          <t>FY25 Q2 call participants confirmed (Zukin, Thill, Vleeschhouwer, Rangan)</t>
        </is>
      </c>
      <c r="C232" t="inlineStr">
        <is>
          <t>names only</t>
        </is>
      </c>
      <c r="D232" t="inlineStr">
        <is>
          <t>https://www.marketscreener.com/quote/stock/ADOBE-INC-4844/news/Transcript-Adobe-Inc-Q2-2025-Earnings-Call-Jun-12-2025-50230016/</t>
        </is>
      </c>
      <c r="E232" t="inlineStr">
        <is>
          <t>2026-10-02</t>
        </is>
      </c>
      <c r="F232" t="inlineStr">
        <is>
          <t>WebSearch snippet; their questions not recovered</t>
        </is>
      </c>
    </row>
    <row r="233">
      <c r="A233" t="inlineStr">
        <is>
          <t>ws4_call_nlp</t>
        </is>
      </c>
      <c r="B233" t="inlineStr">
        <is>
          <t>FY26 Q3 call Q&amp;A (partial): Zukin/Wolfe pricing-model question; Thill/Jefferies credit consumption; Weiss/MS model integration &amp; ad platforms</t>
        </is>
      </c>
      <c r="C233" t="inlineStr">
        <is>
          <t>3 questions recovered</t>
        </is>
      </c>
      <c r="D233" t="inlineStr">
        <is>
          <t>https://www.investing.com/news/transcripts/earnings-call-transcript-adobe-tops-q3-2026-estimates-but-shares-fall-93CH-4897022</t>
        </is>
      </c>
      <c r="E233" t="inlineStr">
        <is>
          <t>2026-10-02</t>
        </is>
      </c>
      <c r="F233" t="inlineStr">
        <is>
          <t>WebSearch snippet; page blocked; partial coverage</t>
        </is>
      </c>
    </row>
    <row r="234">
      <c r="A234" t="inlineStr">
        <is>
          <t>ws4_call_nlp</t>
        </is>
      </c>
      <c r="B234" t="inlineStr">
        <is>
          <t>FY26 Q3 call Q&amp;A (partial): Zelnick/DB freemium conversion (Chakravarthy answer: creative freemium MAU &gt;100M, +70%)</t>
        </is>
      </c>
      <c r="C234" t="inlineStr">
        <is>
          <t>1 question recovered</t>
        </is>
      </c>
      <c r="D234" t="inlineStr">
        <is>
          <t>https://ca.investing.com/news/company-news/adobe-inc-adbe-q3-2026-earnings-call-highlights-record-revenue-1-billion-mau-and--4836069</t>
        </is>
      </c>
      <c r="E234" t="inlineStr">
        <is>
          <t>2026-10-02</t>
        </is>
      </c>
      <c r="F234" t="inlineStr">
        <is>
          <t>GuruFocus highlights via WebSearch snippet</t>
        </is>
      </c>
    </row>
    <row r="235">
      <c r="A235" t="inlineStr">
        <is>
          <t>ws4_call_nlp</t>
        </is>
      </c>
      <c r="B235" t="inlineStr">
        <is>
          <t>FY26 Q3 call Q&amp;A (partial): RPO +8% single-digit; net new ARR decline attributed to freemium emphasis</t>
        </is>
      </c>
      <c r="C235" t="inlineStr">
        <is>
          <t>2 questions recovered (analysts unnamed)</t>
        </is>
      </c>
      <c r="D235" t="inlineStr">
        <is>
          <t>https://finance.yahoo.com/markets/stocks/articles/adobe-q3-2026-earnings-1-110958223.html</t>
        </is>
      </c>
      <c r="E235" t="inlineStr">
        <is>
          <t>2026-10-02</t>
        </is>
      </c>
      <c r="F235" t="inlineStr">
        <is>
          <t>WebSearch snippet</t>
        </is>
      </c>
    </row>
    <row r="236">
      <c r="A236" t="inlineStr">
        <is>
          <t>ws4_call_nlp</t>
        </is>
      </c>
      <c r="B236" t="inlineStr">
        <is>
          <t>FY26 Q3 call participants confirmed (Turrin, Kalia, Radke)</t>
        </is>
      </c>
      <c r="C236" t="inlineStr">
        <is>
          <t>names only</t>
        </is>
      </c>
      <c r="D236" t="inlineStr">
        <is>
          <t>https://www.investing.com/news/transcripts/earnings-call-transcript-adobe-tops-q3-2026-estimates-but-shares-fall-93CH-4897022</t>
        </is>
      </c>
      <c r="E236" t="inlineStr">
        <is>
          <t>2026-10-02</t>
        </is>
      </c>
      <c r="F236" t="inlineStr">
        <is>
          <t>WebSearch snippet; questions not recovered</t>
        </is>
      </c>
    </row>
    <row r="237">
      <c r="A237" t="inlineStr">
        <is>
          <t>ws4_call_nlp</t>
        </is>
      </c>
      <c r="B237" t="inlineStr">
        <is>
          <t>CEO transition announced on FY26 Q1 call (Narayen: 'transitioning from my role as CEO after over 18 years')</t>
        </is>
      </c>
      <c r="C237" t="inlineStr">
        <is>
          <t>2026-03-12</t>
        </is>
      </c>
      <c r="D237" t="inlineStr">
        <is>
          <t>https://raw.githubusercontent.com/Ngafney/garda-spring26/main/amir/transcripts/adobe/2026/Q1/ADBE_2026-03-13_Q1.txt</t>
        </is>
      </c>
      <c r="E237" t="inlineStr">
        <is>
          <t>2026-10-02</t>
        </is>
      </c>
      <c r="F237" t="inlineStr">
        <is>
          <t>transcript</t>
        </is>
      </c>
    </row>
    <row r="238">
      <c r="A238" t="inlineStr">
        <is>
          <t>ws4_call_nlp</t>
        </is>
      </c>
      <c r="B238" t="inlineStr">
        <is>
          <t>CFO transition (Durn leaving) raised in first question of FY26 Q2 call; Steve Day interim CFO by FY26 Q3</t>
        </is>
      </c>
      <c r="C238" t="inlineStr">
        <is>
          <t>2026-06-11 / 2026-09-10</t>
        </is>
      </c>
      <c r="D238" t="inlineStr">
        <is>
          <t>https://raw.githubusercontent.com/bencrowe0/citibank-arp/master/outputs/p2_adobe_ext2026_08_13/extracted/ADBE_FQ2_2026.txt</t>
        </is>
      </c>
      <c r="E238" t="inlineStr">
        <is>
          <t>2026-10-02</t>
        </is>
      </c>
      <c r="F238" t="inlineStr">
        <is>
          <t>transcript + WebSearch snippet (Investing.com) for interim CFO</t>
        </is>
      </c>
    </row>
    <row r="239">
      <c r="A239" t="inlineStr">
        <is>
          <t>ws4_call_nlp</t>
        </is>
      </c>
      <c r="B239" t="inlineStr">
        <is>
          <t>Keyword-vs-hand topic agreement</t>
        </is>
      </c>
      <c r="C239" t="inlineStr">
        <is>
          <t>72.2% (37 overrides / 133 questions)</t>
        </is>
      </c>
      <c r="D239" t="inlineStr">
        <is>
          <t>data/analyst_questions.csv</t>
        </is>
      </c>
      <c r="E239" t="inlineStr">
        <is>
          <t>2026-10-02</t>
        </is>
      </c>
      <c r="F239" t="inlineStr">
        <is>
          <t>single rater; all full-text questions reviewed</t>
        </is>
      </c>
    </row>
    <row r="240">
      <c r="A240" t="inlineStr">
        <is>
          <t>ws5_trends_competitors</t>
        </is>
      </c>
      <c r="B240" t="inlineStr">
        <is>
          <t>Google Trends unreachable from container</t>
        </is>
      </c>
      <c r="C240" t="inlineStr">
        <is>
          <t>ProxyError 403 in 0.8s (pytrends)</t>
        </is>
      </c>
      <c r="D240" t="inlineStr">
        <is>
          <t>https://trends.google.com/trends/explore</t>
        </is>
      </c>
      <c r="E240" t="inlineStr">
        <is>
          <t>2026-10-02</t>
        </is>
      </c>
      <c r="F240" t="inlineStr">
        <is>
          <t>Single probe; manual export kit written instead</t>
        </is>
      </c>
    </row>
    <row r="241">
      <c r="A241" t="inlineStr">
        <is>
          <t>ws5_trends_competitors</t>
        </is>
      </c>
      <c r="B241" t="inlineStr">
        <is>
          <t>Figma FY2023 revenue</t>
        </is>
      </c>
      <c r="C241" t="inlineStr">
        <is>
          <t>$504M</t>
        </is>
      </c>
      <c r="D241" t="inlineStr">
        <is>
          <t>https://www.sec.gov/Archives/edgar/data/1579878/000162828025033742/figma-sx1.htm</t>
        </is>
      </c>
      <c r="E241" t="inlineStr">
        <is>
          <t>2026-10-02</t>
        </is>
      </c>
      <c r="F241" t="inlineStr">
        <is>
          <t>retrieved via WebSearch snippet; page not fetchable from this environment</t>
        </is>
      </c>
    </row>
    <row r="242">
      <c r="A242" t="inlineStr">
        <is>
          <t>ws5_trends_competitors</t>
        </is>
      </c>
      <c r="B242" t="inlineStr">
        <is>
          <t>Figma FY2024 revenue</t>
        </is>
      </c>
      <c r="C242" t="inlineStr">
        <is>
          <t>$749M (+48%)</t>
        </is>
      </c>
      <c r="D242" t="inlineStr">
        <is>
          <t>https://www.sec.gov/Archives/edgar/data/1579878/000162828025033742/figma-sx1.htm</t>
        </is>
      </c>
      <c r="E242" t="inlineStr">
        <is>
          <t>2026-10-02</t>
        </is>
      </c>
      <c r="F242" t="inlineStr">
        <is>
          <t>retrieved via WebSearch snippet</t>
        </is>
      </c>
    </row>
    <row r="243">
      <c r="A243" t="inlineStr">
        <is>
          <t>ws5_trends_competitors</t>
        </is>
      </c>
      <c r="B243" t="inlineStr">
        <is>
          <t>Figma Q1 2024 / Q1 2025 revenue</t>
        </is>
      </c>
      <c r="C243" t="inlineStr">
        <is>
          <t>$156.2M / $228.2M (+46%)</t>
        </is>
      </c>
      <c r="D243" t="inlineStr">
        <is>
          <t>https://www.sec.gov/Archives/edgar/data/1579878/000162828025033742/figma-sx1.htm</t>
        </is>
      </c>
      <c r="E243" t="inlineStr">
        <is>
          <t>2026-10-02</t>
        </is>
      </c>
      <c r="F243" t="inlineStr">
        <is>
          <t>retrieved via WebSearch snippet</t>
        </is>
      </c>
    </row>
    <row r="244">
      <c r="A244" t="inlineStr">
        <is>
          <t>ws5_trends_competitors</t>
        </is>
      </c>
      <c r="B244" t="inlineStr">
        <is>
          <t>Figma NDR Mar-2024 / Mar-2025</t>
        </is>
      </c>
      <c r="C244" t="inlineStr">
        <is>
          <t>125% / 132%</t>
        </is>
      </c>
      <c r="D244" t="inlineStr">
        <is>
          <t>https://www.sec.gov/Archives/edgar/data/1579878/000162828025033742/figma-sx1.htm</t>
        </is>
      </c>
      <c r="E244" t="inlineStr">
        <is>
          <t>2026-10-02</t>
        </is>
      </c>
      <c r="F244" t="inlineStr">
        <is>
          <t>retrieved via WebSearch snippet</t>
        </is>
      </c>
    </row>
    <row r="245">
      <c r="A245" t="inlineStr">
        <is>
          <t>ws5_trends_competitors</t>
        </is>
      </c>
      <c r="B245" t="inlineStr">
        <is>
          <t>Figma &gt;$10k customers Mar-2023/2024/2025</t>
        </is>
      </c>
      <c r="C245" t="inlineStr">
        <is>
          <t>5,945 / 8,007 / 11,107</t>
        </is>
      </c>
      <c r="D245" t="inlineStr">
        <is>
          <t>https://www.sec.gov/Archives/edgar/data/1579878/000162828025033742/figma-sx1.htm</t>
        </is>
      </c>
      <c r="E245" t="inlineStr">
        <is>
          <t>2026-10-02</t>
        </is>
      </c>
      <c r="F245" t="inlineStr">
        <is>
          <t>retrieved via WebSearch snippet</t>
        </is>
      </c>
    </row>
    <row r="246">
      <c r="A246" t="inlineStr">
        <is>
          <t>ws5_trends_competitors</t>
        </is>
      </c>
      <c r="B246" t="inlineStr">
        <is>
          <t>Figma &gt;$100k customers Mar-2023 / Mar-2025</t>
        </is>
      </c>
      <c r="C246" t="inlineStr">
        <is>
          <t>456 / 1,031</t>
        </is>
      </c>
      <c r="D246" t="inlineStr">
        <is>
          <t>https://www.sec.gov/Archives/edgar/data/1579878/000162828025033742/figma-sx1.htm</t>
        </is>
      </c>
      <c r="E246" t="inlineStr">
        <is>
          <t>2026-10-02</t>
        </is>
      </c>
      <c r="F246" t="inlineStr">
        <is>
          <t>retrieved via WebSearch snippet</t>
        </is>
      </c>
    </row>
    <row r="247">
      <c r="A247" t="inlineStr">
        <is>
          <t>ws5_trends_competitors</t>
        </is>
      </c>
      <c r="B247" t="inlineStr">
        <is>
          <t>Figma Q2 2025 revenue</t>
        </is>
      </c>
      <c r="C247" t="inlineStr">
        <is>
          <t>$249.6M (+41%)</t>
        </is>
      </c>
      <c r="D247" t="inlineStr">
        <is>
          <t>https://www.sec.gov/Archives/edgar/data/1579878/000157987825000026/q225pressrelease.htm</t>
        </is>
      </c>
      <c r="E247" t="inlineStr">
        <is>
          <t>2026-10-02</t>
        </is>
      </c>
      <c r="F247" t="inlineStr">
        <is>
          <t>8-K 2025-09-03; also businesswire.com/news/home/20250903760601; &gt;1100 customers &gt;$100k</t>
        </is>
      </c>
    </row>
    <row r="248">
      <c r="A248" t="inlineStr">
        <is>
          <t>ws5_trends_competitors</t>
        </is>
      </c>
      <c r="B248" t="inlineStr">
        <is>
          <t>Figma Q3 2025 revenue / NDR / &gt;$100k</t>
        </is>
      </c>
      <c r="C248" t="inlineStr">
        <is>
          <t>$274.2M (+38%) / 131% / 1,262</t>
        </is>
      </c>
      <c r="D248" t="inlineStr">
        <is>
          <t>https://www.sec.gov/Archives/edgar/data/1579878/000162828025049555/q325pressrelease.htm</t>
        </is>
      </c>
      <c r="E248" t="inlineStr">
        <is>
          <t>2026-10-02</t>
        </is>
      </c>
      <c r="F248" t="inlineStr">
        <is>
          <t>8-K 2025-11-05; FY25 guide then $1.021-1.025B</t>
        </is>
      </c>
    </row>
    <row r="249">
      <c r="A249" t="inlineStr">
        <is>
          <t>ws5_trends_competitors</t>
        </is>
      </c>
      <c r="B249" t="inlineStr">
        <is>
          <t>Figma Q4 2025 and FY2025 revenue</t>
        </is>
      </c>
      <c r="C249" t="inlineStr">
        <is>
          <t>$303.8M (+40%); FY $1.056B (+41%)</t>
        </is>
      </c>
      <c r="D249" t="inlineStr">
        <is>
          <t>https://www.sec.gov/Archives/edgar/data/1579878/000162828026009024/fy25pressrelease.htm</t>
        </is>
      </c>
      <c r="E249" t="inlineStr">
        <is>
          <t>2026-10-02</t>
        </is>
      </c>
      <c r="F249" t="inlineStr">
        <is>
          <t>8-K 2026-02-18; NDR 136%; &gt;$10k 13861; &gt;$100k 1405; initial FY26 guide $1.366-1.374B</t>
        </is>
      </c>
    </row>
    <row r="250">
      <c r="A250" t="inlineStr">
        <is>
          <t>ws5_trends_competitors</t>
        </is>
      </c>
      <c r="B250" t="inlineStr">
        <is>
          <t>Figma Q1 2026 revenue / NDR / customers</t>
        </is>
      </c>
      <c r="C250" t="inlineStr">
        <is>
          <t>$333.4M (+46%) / 139% / 15,218 &gt;$10k / 1,525 &gt;$100k</t>
        </is>
      </c>
      <c r="D250" t="inlineStr">
        <is>
          <t>https://www.sec.gov/Archives/edgar/data/0001579878/000162828026035087/q126pressrelease.htm</t>
        </is>
      </c>
      <c r="E250" t="inlineStr">
        <is>
          <t>2026-10-02</t>
        </is>
      </c>
      <c r="F250" t="inlineStr">
        <is>
          <t>8-K 2026-05-14; FY26 guide raised to $1.422-1.428B</t>
        </is>
      </c>
    </row>
    <row r="251">
      <c r="A251" t="inlineStr">
        <is>
          <t>ws5_trends_competitors</t>
        </is>
      </c>
      <c r="B251" t="inlineStr">
        <is>
          <t>Figma Q2 2026 revenue / NDR / customers</t>
        </is>
      </c>
      <c r="C251" t="inlineStr">
        <is>
          <t>$370.1M (+48%) / 136% / 15,964 &gt;$10k (+34%) / 1,635 &gt;$100k (+46%)</t>
        </is>
      </c>
      <c r="D251" t="inlineStr">
        <is>
          <t>https://www.sec.gov/Archives/edgar/data/0001579878/000162828026053331/q226pressrelease.htm</t>
        </is>
      </c>
      <c r="E251" t="inlineStr">
        <is>
          <t>2026-10-02</t>
        </is>
      </c>
      <c r="F251" t="inlineStr">
        <is>
          <t>8-K 2026-08-05; FY26 guide raised $40M to $1.463-1.467B; also s206.q4cdn.com Figma-Q2-26-Press-Release.pdf</t>
        </is>
      </c>
    </row>
    <row r="252">
      <c r="A252" t="inlineStr">
        <is>
          <t>ws5_trends_competitors</t>
        </is>
      </c>
      <c r="B252" t="inlineStr">
        <is>
          <t>Canva ARR end-2023 and Sep-2024</t>
        </is>
      </c>
      <c r="C252" t="inlineStr">
        <is>
          <t>$1.7B and $2.55B</t>
        </is>
      </c>
      <c r="D252" t="inlineStr">
        <is>
          <t>https://sacra-pdfs.s3.us-east-2.amazonaws.com/canva-at-2-55b-arr.pdf</t>
        </is>
      </c>
      <c r="E252" t="inlineStr">
        <is>
          <t>2026-10-02</t>
        </is>
      </c>
      <c r="F252" t="inlineStr">
        <is>
          <t>ESTIMATE third-party (Sacra)</t>
        </is>
      </c>
    </row>
    <row r="253">
      <c r="A253" t="inlineStr">
        <is>
          <t>ws5_trends_competitors</t>
        </is>
      </c>
      <c r="B253" t="inlineStr">
        <is>
          <t>Canva ARR Canva Extend Sept 2024</t>
        </is>
      </c>
      <c r="C253" t="inlineStr">
        <is>
          <t>&gt;$2.3B</t>
        </is>
      </c>
      <c r="D253" t="inlineStr">
        <is>
          <t>https://aragonresearch.com/canva-extend-2024/</t>
        </is>
      </c>
      <c r="E253" t="inlineStr">
        <is>
          <t>2026-10-02</t>
        </is>
      </c>
      <c r="F253" t="inlineStr">
        <is>
          <t>secondary coverage of company statement</t>
        </is>
      </c>
    </row>
    <row r="254">
      <c r="A254" t="inlineStr">
        <is>
          <t>ws5_trends_competitors</t>
        </is>
      </c>
      <c r="B254" t="inlineStr">
        <is>
          <t>Canva ARR end-2025 growth</t>
        </is>
      </c>
      <c r="C254" t="inlineStr">
        <is>
          <t>$4B up 43% from $2.8B</t>
        </is>
      </c>
      <c r="D254" t="inlineStr">
        <is>
          <t>https://sacra.com/research/canva-at-4b-arr-growing-43-yoy/</t>
        </is>
      </c>
      <c r="E254" t="inlineStr">
        <is>
          <t>2026-10-02</t>
        </is>
      </c>
      <c r="F254" t="inlineStr">
        <is>
          <t>ESTIMATE third-party (Sacra); base conflicts with company's late-2024 statements</t>
        </is>
      </c>
    </row>
    <row r="255">
      <c r="A255" t="inlineStr">
        <is>
          <t>ws5_trends_competitors</t>
        </is>
      </c>
      <c r="B255" t="inlineStr">
        <is>
          <t>Canva $3B ARR and 230M MAU</t>
        </is>
      </c>
      <c r="C255" t="inlineStr">
        <is>
          <t>ARR surpassing $3B; 230M users</t>
        </is>
      </c>
      <c r="D255" t="inlineStr">
        <is>
          <t>https://www.canva.com/newsroom/news/cnbc-disruptor-50-2025/</t>
        </is>
      </c>
      <c r="E255" t="inlineStr">
        <is>
          <t>2026-10-02</t>
        </is>
      </c>
      <c r="F255" t="inlineStr">
        <is>
          <t>Canva newsroom (CNBC Disruptor 50 June 2025); page blocked here; also Fortune April 2025</t>
        </is>
      </c>
    </row>
    <row r="256">
      <c r="A256" t="inlineStr">
        <is>
          <t>ws5_trends_competitors</t>
        </is>
      </c>
      <c r="B256" t="inlineStr">
        <is>
          <t>Canva $3.3B annualized sales / $42B valuation / 240M MAU</t>
        </is>
      </c>
      <c r="C256" t="inlineStr">
        <is>
          <t>Aug 2025</t>
        </is>
      </c>
      <c r="D256" t="inlineStr">
        <is>
          <t>https://fortune.com/2025/08/22/canva-billionaire-founders-minting-overnight-millionaires-employee-share-sale</t>
        </is>
      </c>
      <c r="E256" t="inlineStr">
        <is>
          <t>2026-10-02</t>
        </is>
      </c>
      <c r="F256" t="inlineStr">
        <is>
          <t>employee secondary sale</t>
        </is>
      </c>
    </row>
    <row r="257">
      <c r="A257" t="inlineStr">
        <is>
          <t>ws5_trends_competitors</t>
        </is>
      </c>
      <c r="B257" t="inlineStr">
        <is>
          <t>Canva end-2025 MAU / paid / ARR</t>
        </is>
      </c>
      <c r="C257" t="inlineStr">
        <is>
          <t>265M / 31.2M / $4B</t>
        </is>
      </c>
      <c r="D257" t="inlineStr">
        <is>
          <t>https://musically.com/2026/02/19/canva-now-has-265m-monthly-active-users-and-31m-are-paying/</t>
        </is>
      </c>
      <c r="E257" t="inlineStr">
        <is>
          <t>2026-10-02</t>
        </is>
      </c>
      <c r="F257" t="inlineStr">
        <is>
          <t>figures given by Canva to Inc. Feb 2026; ~$500M ARR from &gt;25-seat business customers</t>
        </is>
      </c>
    </row>
    <row r="258">
      <c r="A258" t="inlineStr">
        <is>
          <t>ws5_trends_competitors</t>
        </is>
      </c>
      <c r="B258" t="inlineStr">
        <is>
          <t>Canva 2025 revenue</t>
        </is>
      </c>
      <c r="C258" t="inlineStr">
        <is>
          <t>$3.5B</t>
        </is>
      </c>
      <c r="D258" t="inlineStr">
        <is>
          <t>https://en.wikipedia.org/wiki/Canva</t>
        </is>
      </c>
      <c r="E258" t="inlineStr">
        <is>
          <t>2026-10-02</t>
        </is>
      </c>
      <c r="F258" t="inlineStr">
        <is>
          <t>secondary; basis unclear; page blocked here (snippet only)</t>
        </is>
      </c>
    </row>
    <row r="259">
      <c r="A259" t="inlineStr">
        <is>
          <t>ws5_trends_competitors</t>
        </is>
      </c>
      <c r="B259" t="inlineStr">
        <is>
          <t>Canva Q2 2026 revenue and growth-guide cut</t>
        </is>
      </c>
      <c r="C259" t="inlineStr">
        <is>
          <t>$921.9M (+25.2%); 2026 growth ~20% (from 30%)</t>
        </is>
      </c>
      <c r="D259" t="inlineStr">
        <is>
          <t>https://aiweekly.co/alerts/canva-cuts-revenue-growth-forecast-on-ai-cost-blowout</t>
        </is>
      </c>
      <c r="E259" t="inlineStr">
        <is>
          <t>2026-10-02</t>
        </is>
      </c>
      <c r="F259" t="inlineStr">
        <is>
          <t>Aug 2026; first reported by The Information; AI serving cost blowout; also cryptobriefing.com and orm-tech.com</t>
        </is>
      </c>
    </row>
    <row r="260">
      <c r="A260" t="inlineStr">
        <is>
          <t>ws5_trends_competitors</t>
        </is>
      </c>
      <c r="B260" t="inlineStr">
        <is>
          <t>Canva paid users Sep-2023 / Sep-2024; MAU Dec-2024</t>
        </is>
      </c>
      <c r="C260" t="inlineStr">
        <is>
          <t>16M / 21M; 220M</t>
        </is>
      </c>
      <c r="D260" t="inlineStr">
        <is>
          <t>https://backlinko.com/canva-users</t>
        </is>
      </c>
      <c r="E260" t="inlineStr">
        <is>
          <t>2026-10-02</t>
        </is>
      </c>
      <c r="F260" t="inlineStr">
        <is>
          <t>secondary statistics roundup</t>
        </is>
      </c>
    </row>
    <row r="261">
      <c r="A261" t="inlineStr">
        <is>
          <t>ws5_trends_competitors</t>
        </is>
      </c>
      <c r="B261" t="inlineStr">
        <is>
          <t>Midjourney revenue estimates 2023/2024/2025</t>
        </is>
      </c>
      <c r="C261" t="inlineStr">
        <is>
          <t>$200M / $300M / $500M</t>
        </is>
      </c>
      <c r="D261" t="inlineStr">
        <is>
          <t>https://sacra.com/c/midjourney/</t>
        </is>
      </c>
      <c r="E261" t="inlineStr">
        <is>
          <t>2026-10-02</t>
        </is>
      </c>
      <c r="F261" t="inlineStr">
        <is>
          <t>ESTIMATE third-party (Sacra; GetLatka similar)</t>
        </is>
      </c>
    </row>
    <row r="262">
      <c r="A262" t="inlineStr">
        <is>
          <t>ws5_trends_competitors</t>
        </is>
      </c>
      <c r="B262" t="inlineStr">
        <is>
          <t>Adobe FY2023 Digital Media / Creative / Document Cloud / total revenue</t>
        </is>
      </c>
      <c r="C262" t="inlineStr">
        <is>
          <t>$14.216B / $11.52B (+10%) / $2.70B (+13%) / $19.41B</t>
        </is>
      </c>
      <c r="D262" t="inlineStr">
        <is>
          <t>https://www.sec.gov/Archives/edgar/data/796343/000079634323000252/adbeex991q423.htm</t>
        </is>
      </c>
      <c r="E262" t="inlineStr">
        <is>
          <t>2026-10-02</t>
        </is>
      </c>
      <c r="F262" t="inlineStr">
        <is>
          <t>8-K 2023-12-13; retrieved via WebSearch snippet</t>
        </is>
      </c>
    </row>
    <row r="263">
      <c r="A263" t="inlineStr">
        <is>
          <t>ws5_trends_competitors</t>
        </is>
      </c>
      <c r="B263" t="inlineStr">
        <is>
          <t>Adobe FY2024 Digital Media / Document Cloud / total revenue</t>
        </is>
      </c>
      <c r="C263" t="inlineStr">
        <is>
          <t>$15.86B (+12%) / $3.18B (+18%) / $21.51B (+11%)</t>
        </is>
      </c>
      <c r="D263" t="inlineStr">
        <is>
          <t>https://www.sec.gov/Archives/edgar/data/796343/000079634324000250/adbeex991q424.htm</t>
        </is>
      </c>
      <c r="E263" t="inlineStr">
        <is>
          <t>2026-10-02</t>
        </is>
      </c>
      <c r="F263" t="inlineStr">
        <is>
          <t>8-K 2024-12-11; Q4 FY24 Creative $3.30B +10%; net new DM ARR $2.00B</t>
        </is>
      </c>
    </row>
    <row r="264">
      <c r="A264" t="inlineStr">
        <is>
          <t>ws5_trends_competitors</t>
        </is>
      </c>
      <c r="B264" t="inlineStr">
        <is>
          <t>Adobe FY2025 Digital Media / total revenue; Q4 FY25 customer groups</t>
        </is>
      </c>
      <c r="C264" t="inlineStr">
        <is>
          <t>$17.65B (+11%) / $23.77B (+11%); C&amp;MP $4.25B (+11%); BP&amp;C $1.7B (+15%)</t>
        </is>
      </c>
      <c r="D264" t="inlineStr">
        <is>
          <t>https://www.sec.gov/Archives/edgar/data/796343/000079634325000135/adbeex991q425.htm</t>
        </is>
      </c>
      <c r="E264" t="inlineStr">
        <is>
          <t>2026-10-02</t>
        </is>
      </c>
      <c r="F264" t="inlineStr">
        <is>
          <t>8-K 2025-12-10; DM ARR $19.20B +11.5%; FY26 revenue guide $25.9-26.1B; ARR growth target 10.2%</t>
        </is>
      </c>
    </row>
    <row r="265">
      <c r="A265" t="inlineStr">
        <is>
          <t>ws5_trends_competitors</t>
        </is>
      </c>
      <c r="B265" t="inlineStr">
        <is>
          <t>Adobe Q3 FY2026 C&amp;MP / BP&amp;C / total / ARR</t>
        </is>
      </c>
      <c r="C265" t="inlineStr">
        <is>
          <t>$4651M (+13%) / $1905M (+16%) / $6760M (+12.9%) / $27.50B (+11.2%)</t>
        </is>
      </c>
      <c r="D265" t="inlineStr">
        <is>
          <t>https://www.sec.gov/Archives/edgar/data/0000796343/000079634326000156/adbe-20260828.htm</t>
        </is>
      </c>
      <c r="E265" t="inlineStr">
        <is>
          <t>2026-10-02</t>
        </is>
      </c>
      <c r="F265" t="inlineStr">
        <is>
          <t>orchestrator starting facts (10-Q Q3 FY26); verified via WebSearch (C&amp;MP $4.65B +12%; BP&amp;C $1.91B +15%); FY26 guides C&amp;MP $18.242-18.272B BP&amp;C $7.47-7.49B</t>
        </is>
      </c>
    </row>
    <row r="266">
      <c r="A266" t="inlineStr">
        <is>
          <t>ws5_trends_competitors</t>
        </is>
      </c>
      <c r="B266" t="inlineStr">
        <is>
          <t>Adobe TAM $205B (2024) to $293B (2027); Creative Cloud $91B</t>
        </is>
      </c>
      <c r="C266" t="inlineStr">
        <is>
          <t>13% CAGR</t>
        </is>
      </c>
      <c r="D266" t="inlineStr">
        <is>
          <t>https://futurumgroup.com/insights/adobe-summit-2024</t>
        </is>
      </c>
      <c r="E266" t="inlineStr">
        <is>
          <t>2026-10-02</t>
        </is>
      </c>
      <c r="F266" t="inlineStr">
        <is>
          <t>ESTIMATE company-cited at Investor Meeting Adobe Summit 2024-03-26 (notice: businesswire.com/news/home/20240304544440/en); DC $47B; Experience Cloud $155B</t>
        </is>
      </c>
    </row>
    <row r="267">
      <c r="A267" t="inlineStr">
        <is>
          <t>ws6_channel_checks</t>
        </is>
      </c>
      <c r="B267" t="inlineStr">
        <is>
          <t>Creative Cloud Pro NA price increase June 2025</t>
        </is>
      </c>
      <c r="C267" t="inlineStr">
        <is>
          <t>$59.99 to $69.99 per month</t>
        </is>
      </c>
      <c r="D267" t="inlineStr">
        <is>
          <t>https://helpx.adobe.com/creative-cloud/kb/creative-cloud-pro-plan-pricing-update.html</t>
        </is>
      </c>
      <c r="E267" t="inlineStr">
        <is>
          <t>2026-10-02</t>
        </is>
      </c>
      <c r="F267" t="inlineStr">
        <is>
          <t>URL not verified from this environment (adobe.com blocked by egress proxy); figure taken from orchestrator task context. Adobe help article on Creative Cloud Pro pricing.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2026-10-02T17:53:06Z</dcterms:created>
  <dcterms:modified xmlns:dcterms="http://purl.org/dc/terms/" xmlns:xsi="http://www.w3.org/2001/XMLSchema-instance" xsi:type="dcterms:W3CDTF">2026-10-02T17:53:06Z</dcterms:modified>
</cp:coreProperties>
</file>