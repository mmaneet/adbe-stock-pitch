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/>
    <row r="41">
      <c r="A41" s="1" t="inlineStr">
        <is>
          <t>Derived (formulas)</t>
        </is>
      </c>
    </row>
    <row r="42">
      <c r="A42" t="inlineStr">
        <is>
          <t>Market cap (USD M)</t>
        </is>
      </c>
      <c r="B42" s="5">
        <f>Inputs!$B$5*Inputs!$B$6</f>
        <v/>
      </c>
    </row>
    <row r="43">
      <c r="A43" t="inlineStr">
        <is>
          <t>Net debt (USD M)</t>
        </is>
      </c>
      <c r="B43" s="5">
        <f>Inputs!$B$35-Inputs!$B$36</f>
        <v/>
      </c>
    </row>
    <row r="44">
      <c r="A44" t="inlineStr">
        <is>
          <t>Enterprise value (USD M)</t>
        </is>
      </c>
      <c r="B44" s="5">
        <f>B42+B43</f>
        <v/>
      </c>
    </row>
    <row r="45">
      <c r="A45" t="inlineStr">
        <is>
          <t>FY26 non-GAAP EPS midpoint</t>
        </is>
      </c>
      <c r="B45" s="5">
        <f>AVERAGE(Inputs!$B$22,Inputs!$B$23)</f>
        <v/>
      </c>
    </row>
    <row r="46">
      <c r="A46" t="inlineStr">
        <is>
          <t>P/E on FY26 non-GAAP EPS guide</t>
        </is>
      </c>
      <c r="B46" s="5">
        <f>B5/B45</f>
        <v/>
      </c>
    </row>
    <row r="47">
      <c r="A47" t="inlineStr">
        <is>
          <t>9M FY26 FCF (OCF - capex, USD M)</t>
        </is>
      </c>
      <c r="B47" s="5">
        <f>Inputs!$B$31-Inputs!$B$32</f>
        <v/>
      </c>
    </row>
    <row r="48">
      <c r="A48" t="inlineStr">
        <is>
          <t>9M FY26 FCF after SBC (USD M)</t>
        </is>
      </c>
      <c r="B48" s="5">
        <f>B47-Inputs!$B$33</f>
        <v/>
      </c>
    </row>
    <row r="49">
      <c r="A49" t="inlineStr">
        <is>
          <t>Annualized FCF (9M x 4/3, USD M)</t>
        </is>
      </c>
      <c r="B49" s="5">
        <f>B47*4/3</f>
        <v/>
      </c>
    </row>
    <row r="50">
      <c r="A50" t="inlineStr">
        <is>
          <t>EV / annualized FCF</t>
        </is>
      </c>
      <c r="B50" s="5">
        <f>B44/B49</f>
        <v/>
      </c>
    </row>
    <row r="51">
      <c r="A51" t="inlineStr">
        <is>
          <t>FCF yield on market cap (annualized)</t>
        </is>
      </c>
      <c r="B51" s="5">
        <f>B49/B42</f>
        <v/>
      </c>
    </row>
    <row r="52">
      <c r="A52" t="inlineStr">
        <is>
          <t>Q3 FY26 C&amp;MP YoY growth</t>
        </is>
      </c>
      <c r="B52" s="5">
        <f>Inputs!$B$8/Inputs!$B$9-1</f>
        <v/>
      </c>
    </row>
    <row r="53">
      <c r="A53" t="inlineStr">
        <is>
          <t>Q3 FY26 BP&amp;C YoY growth</t>
        </is>
      </c>
      <c r="B53" s="5">
        <f>Inputs!$B$10/Inputs!$B$11-1</f>
        <v/>
      </c>
    </row>
    <row r="54">
      <c r="A54" t="inlineStr">
        <is>
          <t>9M FY26 C&amp;MP YoY growth</t>
        </is>
      </c>
      <c r="B54" s="5">
        <f>Inputs!$B$12/Inputs!$B$13-1</f>
        <v/>
      </c>
    </row>
    <row r="55">
      <c r="A55" t="inlineStr">
        <is>
          <t>9M FY26 BP&amp;C YoY growth</t>
        </is>
      </c>
      <c r="B55" s="5">
        <f>Inputs!$B$14/Inputs!$B$15-1</f>
        <v/>
      </c>
    </row>
    <row r="56">
      <c r="A56" t="inlineStr">
        <is>
          <t>Implied Q4 FY26 C&amp;MP revenue (guide mid - 9M)</t>
        </is>
      </c>
      <c r="B56" s="5">
        <f>AVERAGE(Inputs!$B$18,Inputs!$B$19)-Inputs!$B$12</f>
        <v/>
      </c>
    </row>
    <row r="57">
      <c r="A57" t="inlineStr">
        <is>
          <t>Implied FY26 ending ARR (USD M)</t>
        </is>
      </c>
      <c r="B57" s="5">
        <f>Inputs!$B$25*(1+Inputs!$B$24)</f>
        <v/>
      </c>
    </row>
    <row r="58">
      <c r="A58" t="inlineStr">
        <is>
          <t>AI-first ARR as % of Q3 ending ARR</t>
        </is>
      </c>
      <c r="B58" s="5">
        <f>Inputs!$B$28/Inputs!$B$26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2026-10-02T07:46:45Z</dcterms:created>
  <dcterms:modified xmlns:dcterms="http://purl.org/dc/terms/" xmlns:xsi="http://www.w3.org/2001/XMLSchema-instance" xsi:type="dcterms:W3CDTF">2026-10-02T07:46:45Z</dcterms:modified>
</cp:coreProperties>
</file>